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Derosa\Downloads\"/>
    </mc:Choice>
  </mc:AlternateContent>
  <xr:revisionPtr revIDLastSave="0" documentId="8_{B1680A4E-23BA-4650-A14F-35B732288938}" xr6:coauthVersionLast="47" xr6:coauthVersionMax="47" xr10:uidLastSave="{00000000-0000-0000-0000-000000000000}"/>
  <bookViews>
    <workbookView xWindow="28680" yWindow="-120" windowWidth="29040" windowHeight="15720" firstSheet="22" activeTab="22" xr2:uid="{00000000-000D-0000-FFFF-FFFF00000000}"/>
  </bookViews>
  <sheets>
    <sheet name="January Totals Madison" sheetId="1" r:id="rId1"/>
    <sheet name="Janurary Provider Totals" sheetId="2" r:id="rId2"/>
    <sheet name="February Totals Madison" sheetId="3" r:id="rId3"/>
    <sheet name="February Provier Totals" sheetId="4" r:id="rId4"/>
    <sheet name="March Totals Madison" sheetId="5" r:id="rId5"/>
    <sheet name="March Provier Totals " sheetId="6" r:id="rId6"/>
    <sheet name="April Totals Madison" sheetId="7" r:id="rId7"/>
    <sheet name="April Provier Totals " sheetId="8" r:id="rId8"/>
    <sheet name="May Totals Madison" sheetId="9" r:id="rId9"/>
    <sheet name="May Provider Totals " sheetId="10" r:id="rId10"/>
    <sheet name="June Totals Madison" sheetId="11" r:id="rId11"/>
    <sheet name="June Provier Totals " sheetId="12" r:id="rId12"/>
    <sheet name="July Totals Madison " sheetId="13" r:id="rId13"/>
    <sheet name="July Provider Totals " sheetId="14" r:id="rId14"/>
    <sheet name="AugustTotals Madison" sheetId="16" r:id="rId15"/>
    <sheet name="August Provider Totals " sheetId="15" r:id="rId16"/>
    <sheet name="September Totals Madison" sheetId="17" r:id="rId17"/>
    <sheet name="September Provider Totals" sheetId="18" r:id="rId18"/>
    <sheet name="October Totals Madison" sheetId="19" r:id="rId19"/>
    <sheet name="October Provider Totals " sheetId="20" r:id="rId20"/>
    <sheet name="November Totals Madison" sheetId="22" r:id="rId21"/>
    <sheet name="November Provider Totals " sheetId="23" r:id="rId22"/>
    <sheet name="December Totals Madison" sheetId="24" r:id="rId23"/>
    <sheet name="December Provider Totals" sheetId="25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5" i="25" l="1"/>
  <c r="H35" i="25"/>
  <c r="H25" i="25" l="1"/>
  <c r="H15" i="25" l="1"/>
  <c r="I30" i="22"/>
  <c r="H48" i="19"/>
  <c r="B48" i="19"/>
  <c r="B51" i="17"/>
  <c r="I23" i="17"/>
  <c r="I37" i="17"/>
  <c r="H6" i="15"/>
  <c r="I4" i="16"/>
  <c r="H33" i="14"/>
  <c r="B9" i="13"/>
  <c r="C9" i="13"/>
  <c r="D9" i="13"/>
  <c r="E9" i="13"/>
  <c r="H32" i="10"/>
  <c r="I32" i="9"/>
  <c r="F3" i="9"/>
  <c r="B48" i="3"/>
  <c r="H21" i="4"/>
  <c r="H31" i="2"/>
  <c r="H21" i="2"/>
  <c r="C9" i="1"/>
  <c r="B47" i="25"/>
  <c r="B48" i="24"/>
  <c r="H14" i="25"/>
  <c r="B48" i="22"/>
  <c r="H49" i="25"/>
  <c r="H48" i="25"/>
  <c r="G47" i="25"/>
  <c r="F47" i="25"/>
  <c r="E47" i="25"/>
  <c r="D47" i="25"/>
  <c r="C47" i="25"/>
  <c r="H46" i="25"/>
  <c r="H44" i="25"/>
  <c r="H43" i="25"/>
  <c r="H42" i="25"/>
  <c r="H39" i="25"/>
  <c r="H38" i="25"/>
  <c r="G37" i="25"/>
  <c r="F37" i="25"/>
  <c r="E37" i="25"/>
  <c r="D37" i="25"/>
  <c r="C37" i="25"/>
  <c r="B37" i="25"/>
  <c r="H36" i="25"/>
  <c r="H34" i="25"/>
  <c r="H33" i="25"/>
  <c r="H32" i="25"/>
  <c r="H29" i="25"/>
  <c r="H28" i="25"/>
  <c r="G27" i="25"/>
  <c r="F27" i="25"/>
  <c r="E27" i="25"/>
  <c r="D27" i="25"/>
  <c r="C27" i="25"/>
  <c r="B27" i="25"/>
  <c r="H26" i="25"/>
  <c r="H24" i="25"/>
  <c r="H23" i="25"/>
  <c r="H22" i="25"/>
  <c r="H19" i="25"/>
  <c r="H18" i="25"/>
  <c r="G17" i="25"/>
  <c r="F17" i="25"/>
  <c r="E17" i="25"/>
  <c r="D17" i="25"/>
  <c r="C17" i="25"/>
  <c r="B17" i="25"/>
  <c r="H16" i="25"/>
  <c r="H13" i="25"/>
  <c r="H12" i="25"/>
  <c r="H9" i="25"/>
  <c r="H8" i="25"/>
  <c r="G7" i="25"/>
  <c r="F7" i="25"/>
  <c r="E7" i="25"/>
  <c r="D7" i="25"/>
  <c r="C7" i="25"/>
  <c r="B7" i="25"/>
  <c r="H6" i="25"/>
  <c r="H5" i="25"/>
  <c r="H4" i="25"/>
  <c r="H3" i="25"/>
  <c r="I62" i="24"/>
  <c r="I61" i="24"/>
  <c r="H60" i="24"/>
  <c r="G60" i="24"/>
  <c r="F60" i="24"/>
  <c r="E60" i="24"/>
  <c r="D60" i="24"/>
  <c r="C60" i="24"/>
  <c r="B60" i="24"/>
  <c r="I59" i="24"/>
  <c r="I58" i="24"/>
  <c r="I57" i="24"/>
  <c r="I56" i="24"/>
  <c r="I55" i="24"/>
  <c r="I54" i="24"/>
  <c r="I50" i="24"/>
  <c r="I49" i="24"/>
  <c r="H48" i="24"/>
  <c r="G48" i="24"/>
  <c r="F48" i="24"/>
  <c r="E48" i="24"/>
  <c r="D48" i="24"/>
  <c r="C48" i="24"/>
  <c r="I47" i="24"/>
  <c r="I46" i="24"/>
  <c r="I45" i="24"/>
  <c r="I44" i="24"/>
  <c r="I43" i="24"/>
  <c r="I42" i="24"/>
  <c r="I37" i="24"/>
  <c r="I36" i="24"/>
  <c r="H35" i="24"/>
  <c r="G35" i="24"/>
  <c r="F35" i="24"/>
  <c r="E35" i="24"/>
  <c r="D35" i="24"/>
  <c r="C35" i="24"/>
  <c r="B35" i="24"/>
  <c r="I34" i="24"/>
  <c r="I33" i="24"/>
  <c r="I32" i="24"/>
  <c r="I31" i="24"/>
  <c r="I30" i="24"/>
  <c r="I29" i="24"/>
  <c r="I24" i="24"/>
  <c r="I23" i="24"/>
  <c r="H22" i="24"/>
  <c r="G22" i="24"/>
  <c r="F22" i="24"/>
  <c r="E22" i="24"/>
  <c r="D22" i="24"/>
  <c r="C22" i="24"/>
  <c r="B22" i="24"/>
  <c r="I21" i="24"/>
  <c r="I20" i="24"/>
  <c r="I19" i="24"/>
  <c r="I18" i="24"/>
  <c r="I17" i="24"/>
  <c r="I16" i="24"/>
  <c r="I11" i="24"/>
  <c r="I10" i="24"/>
  <c r="H9" i="24"/>
  <c r="G9" i="24"/>
  <c r="F9" i="24"/>
  <c r="E9" i="24"/>
  <c r="D9" i="24"/>
  <c r="C9" i="24"/>
  <c r="B9" i="24"/>
  <c r="I8" i="24"/>
  <c r="I7" i="24"/>
  <c r="I6" i="24"/>
  <c r="I5" i="24"/>
  <c r="I4" i="24"/>
  <c r="I3" i="24"/>
  <c r="H45" i="23"/>
  <c r="H44" i="23"/>
  <c r="H43" i="23"/>
  <c r="G43" i="23"/>
  <c r="F43" i="23"/>
  <c r="E43" i="23"/>
  <c r="D43" i="23"/>
  <c r="C43" i="23"/>
  <c r="B43" i="23"/>
  <c r="H42" i="23"/>
  <c r="H41" i="23"/>
  <c r="H40" i="23"/>
  <c r="H39" i="23"/>
  <c r="H36" i="23"/>
  <c r="H35" i="23"/>
  <c r="G34" i="23"/>
  <c r="F34" i="23"/>
  <c r="E34" i="23"/>
  <c r="D34" i="23"/>
  <c r="C34" i="23"/>
  <c r="B34" i="23"/>
  <c r="H33" i="23"/>
  <c r="H32" i="23"/>
  <c r="H31" i="23"/>
  <c r="H30" i="23"/>
  <c r="H27" i="23"/>
  <c r="H26" i="23"/>
  <c r="G25" i="23"/>
  <c r="F25" i="23"/>
  <c r="E25" i="23"/>
  <c r="D25" i="23"/>
  <c r="C25" i="23"/>
  <c r="B25" i="23"/>
  <c r="H24" i="23"/>
  <c r="H23" i="23"/>
  <c r="H22" i="23"/>
  <c r="H21" i="23"/>
  <c r="H18" i="23"/>
  <c r="H17" i="23"/>
  <c r="G16" i="23"/>
  <c r="F16" i="23"/>
  <c r="E16" i="23"/>
  <c r="D16" i="23"/>
  <c r="C16" i="23"/>
  <c r="B16" i="23"/>
  <c r="H15" i="23"/>
  <c r="H14" i="23"/>
  <c r="H13" i="23"/>
  <c r="H12" i="23"/>
  <c r="H9" i="23"/>
  <c r="H8" i="23"/>
  <c r="G7" i="23"/>
  <c r="F7" i="23"/>
  <c r="E7" i="23"/>
  <c r="D7" i="23"/>
  <c r="C7" i="23"/>
  <c r="B7" i="23"/>
  <c r="H6" i="23"/>
  <c r="H5" i="23"/>
  <c r="H4" i="23"/>
  <c r="H3" i="23"/>
  <c r="I62" i="22"/>
  <c r="I61" i="22"/>
  <c r="H60" i="22"/>
  <c r="G60" i="22"/>
  <c r="F60" i="22"/>
  <c r="E60" i="22"/>
  <c r="D60" i="22"/>
  <c r="C60" i="22"/>
  <c r="B60" i="22"/>
  <c r="I59" i="22"/>
  <c r="I58" i="22"/>
  <c r="I57" i="22"/>
  <c r="I56" i="22"/>
  <c r="I55" i="22"/>
  <c r="I54" i="22"/>
  <c r="I50" i="22"/>
  <c r="I49" i="22"/>
  <c r="H48" i="22"/>
  <c r="G48" i="22"/>
  <c r="F48" i="22"/>
  <c r="E48" i="22"/>
  <c r="D48" i="22"/>
  <c r="C48" i="22"/>
  <c r="I47" i="22"/>
  <c r="I46" i="22"/>
  <c r="I45" i="22"/>
  <c r="I44" i="22"/>
  <c r="I43" i="22"/>
  <c r="I42" i="22"/>
  <c r="I37" i="22"/>
  <c r="I36" i="22"/>
  <c r="H35" i="22"/>
  <c r="G35" i="22"/>
  <c r="F35" i="22"/>
  <c r="E35" i="22"/>
  <c r="D35" i="22"/>
  <c r="C35" i="22"/>
  <c r="B35" i="22"/>
  <c r="I34" i="22"/>
  <c r="I33" i="22"/>
  <c r="I32" i="22"/>
  <c r="I31" i="22"/>
  <c r="I29" i="22"/>
  <c r="I24" i="22"/>
  <c r="I23" i="22"/>
  <c r="H22" i="22"/>
  <c r="G22" i="22"/>
  <c r="F22" i="22"/>
  <c r="E22" i="22"/>
  <c r="D22" i="22"/>
  <c r="C22" i="22"/>
  <c r="B22" i="22"/>
  <c r="I21" i="22"/>
  <c r="I20" i="22"/>
  <c r="I19" i="22"/>
  <c r="I18" i="22"/>
  <c r="I17" i="22"/>
  <c r="I16" i="22"/>
  <c r="I11" i="22"/>
  <c r="I10" i="22"/>
  <c r="H9" i="22"/>
  <c r="G9" i="22"/>
  <c r="F9" i="22"/>
  <c r="E9" i="22"/>
  <c r="D9" i="22"/>
  <c r="C9" i="22"/>
  <c r="B9" i="22"/>
  <c r="I8" i="22"/>
  <c r="I7" i="22"/>
  <c r="I6" i="22"/>
  <c r="I5" i="22"/>
  <c r="I4" i="22"/>
  <c r="I3" i="22"/>
  <c r="H21" i="18"/>
  <c r="H22" i="18"/>
  <c r="H23" i="18"/>
  <c r="H24" i="18"/>
  <c r="B25" i="18"/>
  <c r="C25" i="18"/>
  <c r="D25" i="18"/>
  <c r="E25" i="18"/>
  <c r="F25" i="18"/>
  <c r="G25" i="18"/>
  <c r="H26" i="18"/>
  <c r="H27" i="18"/>
  <c r="H25" i="23" l="1"/>
  <c r="H47" i="25"/>
  <c r="I60" i="24"/>
  <c r="H37" i="25"/>
  <c r="I48" i="24"/>
  <c r="H27" i="25"/>
  <c r="I35" i="24"/>
  <c r="H17" i="25"/>
  <c r="I22" i="24"/>
  <c r="H7" i="25"/>
  <c r="I9" i="24"/>
  <c r="H34" i="23"/>
  <c r="I48" i="22"/>
  <c r="I35" i="22"/>
  <c r="H7" i="23"/>
  <c r="I22" i="22"/>
  <c r="I60" i="22"/>
  <c r="I9" i="22"/>
  <c r="H16" i="23"/>
  <c r="H25" i="18"/>
  <c r="I22" i="17"/>
  <c r="H45" i="20"/>
  <c r="H44" i="20"/>
  <c r="G43" i="20"/>
  <c r="F43" i="20"/>
  <c r="E43" i="20"/>
  <c r="D43" i="20"/>
  <c r="C43" i="20"/>
  <c r="B43" i="20"/>
  <c r="H42" i="20"/>
  <c r="H41" i="20"/>
  <c r="H40" i="20"/>
  <c r="H39" i="20"/>
  <c r="H36" i="20"/>
  <c r="H35" i="20"/>
  <c r="G34" i="20"/>
  <c r="F34" i="20"/>
  <c r="E34" i="20"/>
  <c r="D34" i="20"/>
  <c r="C34" i="20"/>
  <c r="B34" i="20"/>
  <c r="H33" i="20"/>
  <c r="H32" i="20"/>
  <c r="H31" i="20"/>
  <c r="H30" i="20"/>
  <c r="H27" i="20"/>
  <c r="H26" i="20"/>
  <c r="G25" i="20"/>
  <c r="F25" i="20"/>
  <c r="E25" i="20"/>
  <c r="D25" i="20"/>
  <c r="C25" i="20"/>
  <c r="B25" i="20"/>
  <c r="H24" i="20"/>
  <c r="H23" i="20"/>
  <c r="H22" i="20"/>
  <c r="H21" i="20"/>
  <c r="H18" i="20"/>
  <c r="H17" i="20"/>
  <c r="G16" i="20"/>
  <c r="F16" i="20"/>
  <c r="E16" i="20"/>
  <c r="D16" i="20"/>
  <c r="C16" i="20"/>
  <c r="B16" i="20"/>
  <c r="H15" i="20"/>
  <c r="H14" i="20"/>
  <c r="H13" i="20"/>
  <c r="H12" i="20"/>
  <c r="H9" i="20"/>
  <c r="H8" i="20"/>
  <c r="G7" i="20"/>
  <c r="F7" i="20"/>
  <c r="E7" i="20"/>
  <c r="D7" i="20"/>
  <c r="C7" i="20"/>
  <c r="B7" i="20"/>
  <c r="H6" i="20"/>
  <c r="H5" i="20"/>
  <c r="H4" i="20"/>
  <c r="H3" i="20"/>
  <c r="I62" i="19"/>
  <c r="I61" i="19"/>
  <c r="H60" i="19"/>
  <c r="G60" i="19"/>
  <c r="F60" i="19"/>
  <c r="E60" i="19"/>
  <c r="D60" i="19"/>
  <c r="C60" i="19"/>
  <c r="B60" i="19"/>
  <c r="I59" i="19"/>
  <c r="I58" i="19"/>
  <c r="I57" i="19"/>
  <c r="I56" i="19"/>
  <c r="I55" i="19"/>
  <c r="I54" i="19"/>
  <c r="I50" i="19"/>
  <c r="I49" i="19"/>
  <c r="G48" i="19"/>
  <c r="F48" i="19"/>
  <c r="E48" i="19"/>
  <c r="D48" i="19"/>
  <c r="C48" i="19"/>
  <c r="I47" i="19"/>
  <c r="I46" i="19"/>
  <c r="I45" i="19"/>
  <c r="I44" i="19"/>
  <c r="I43" i="19"/>
  <c r="I42" i="19"/>
  <c r="I37" i="19"/>
  <c r="I36" i="19"/>
  <c r="H35" i="19"/>
  <c r="G35" i="19"/>
  <c r="F35" i="19"/>
  <c r="E35" i="19"/>
  <c r="D35" i="19"/>
  <c r="C35" i="19"/>
  <c r="B35" i="19"/>
  <c r="I34" i="19"/>
  <c r="I33" i="19"/>
  <c r="I32" i="19"/>
  <c r="I31" i="19"/>
  <c r="I30" i="19"/>
  <c r="I29" i="19"/>
  <c r="I24" i="19"/>
  <c r="I23" i="19"/>
  <c r="H22" i="19"/>
  <c r="G22" i="19"/>
  <c r="F22" i="19"/>
  <c r="E22" i="19"/>
  <c r="D22" i="19"/>
  <c r="C22" i="19"/>
  <c r="B22" i="19"/>
  <c r="I21" i="19"/>
  <c r="I20" i="19"/>
  <c r="I19" i="19"/>
  <c r="I18" i="19"/>
  <c r="I17" i="19"/>
  <c r="I16" i="19"/>
  <c r="I11" i="19"/>
  <c r="I10" i="19"/>
  <c r="H9" i="19"/>
  <c r="G9" i="19"/>
  <c r="F9" i="19"/>
  <c r="E9" i="19"/>
  <c r="D9" i="19"/>
  <c r="C9" i="19"/>
  <c r="B9" i="19"/>
  <c r="I8" i="19"/>
  <c r="I7" i="19"/>
  <c r="I6" i="19"/>
  <c r="I5" i="19"/>
  <c r="I4" i="19"/>
  <c r="I3" i="19"/>
  <c r="B48" i="16"/>
  <c r="G25" i="15"/>
  <c r="F25" i="15"/>
  <c r="E25" i="15"/>
  <c r="D25" i="15"/>
  <c r="C25" i="15"/>
  <c r="B25" i="15"/>
  <c r="H24" i="15"/>
  <c r="H23" i="15"/>
  <c r="H22" i="15"/>
  <c r="H21" i="15"/>
  <c r="I60" i="19" l="1"/>
  <c r="H34" i="20"/>
  <c r="K61" i="24"/>
  <c r="K61" i="22"/>
  <c r="H7" i="20"/>
  <c r="H25" i="20"/>
  <c r="I22" i="19"/>
  <c r="H25" i="15"/>
  <c r="I9" i="19"/>
  <c r="I35" i="19"/>
  <c r="H43" i="20"/>
  <c r="H16" i="20"/>
  <c r="I48" i="19"/>
  <c r="G16" i="15"/>
  <c r="F16" i="15"/>
  <c r="E16" i="15"/>
  <c r="D16" i="15"/>
  <c r="C16" i="15"/>
  <c r="B16" i="15"/>
  <c r="H15" i="15"/>
  <c r="H14" i="15"/>
  <c r="H13" i="15"/>
  <c r="H12" i="15"/>
  <c r="H22" i="16"/>
  <c r="G22" i="16"/>
  <c r="F22" i="16"/>
  <c r="E22" i="16"/>
  <c r="D22" i="16"/>
  <c r="C22" i="16"/>
  <c r="B22" i="16"/>
  <c r="I21" i="16"/>
  <c r="I20" i="16"/>
  <c r="I19" i="16"/>
  <c r="I18" i="16"/>
  <c r="I17" i="16"/>
  <c r="I16" i="16"/>
  <c r="K61" i="19" l="1"/>
  <c r="H16" i="15"/>
  <c r="I22" i="16"/>
  <c r="H45" i="18"/>
  <c r="H44" i="18"/>
  <c r="G43" i="18"/>
  <c r="F43" i="18"/>
  <c r="E43" i="18"/>
  <c r="D43" i="18"/>
  <c r="C43" i="18"/>
  <c r="B43" i="18"/>
  <c r="H42" i="18"/>
  <c r="H41" i="18"/>
  <c r="H40" i="18"/>
  <c r="H39" i="18"/>
  <c r="H36" i="18"/>
  <c r="H35" i="18"/>
  <c r="G34" i="18"/>
  <c r="F34" i="18"/>
  <c r="E34" i="18"/>
  <c r="D34" i="18"/>
  <c r="C34" i="18"/>
  <c r="B34" i="18"/>
  <c r="H33" i="18"/>
  <c r="H32" i="18"/>
  <c r="H31" i="18"/>
  <c r="H30" i="18"/>
  <c r="H18" i="18"/>
  <c r="H17" i="18"/>
  <c r="G16" i="18"/>
  <c r="F16" i="18"/>
  <c r="E16" i="18"/>
  <c r="D16" i="18"/>
  <c r="C16" i="18"/>
  <c r="B16" i="18"/>
  <c r="H15" i="18"/>
  <c r="H14" i="18"/>
  <c r="H13" i="18"/>
  <c r="H12" i="18"/>
  <c r="H9" i="18"/>
  <c r="H8" i="18"/>
  <c r="G7" i="18"/>
  <c r="F7" i="18"/>
  <c r="E7" i="18"/>
  <c r="D7" i="18"/>
  <c r="C7" i="18"/>
  <c r="B7" i="18"/>
  <c r="H6" i="18"/>
  <c r="H5" i="18"/>
  <c r="H4" i="18"/>
  <c r="H3" i="18"/>
  <c r="I65" i="17"/>
  <c r="I64" i="17"/>
  <c r="H63" i="17"/>
  <c r="G63" i="17"/>
  <c r="F63" i="17"/>
  <c r="E63" i="17"/>
  <c r="D63" i="17"/>
  <c r="C63" i="17"/>
  <c r="B63" i="17"/>
  <c r="I62" i="17"/>
  <c r="I61" i="17"/>
  <c r="I60" i="17"/>
  <c r="I59" i="17"/>
  <c r="I58" i="17"/>
  <c r="I57" i="17"/>
  <c r="I53" i="17"/>
  <c r="I52" i="17"/>
  <c r="H51" i="17"/>
  <c r="G51" i="17"/>
  <c r="F51" i="17"/>
  <c r="E51" i="17"/>
  <c r="D51" i="17"/>
  <c r="C51" i="17"/>
  <c r="I50" i="17"/>
  <c r="I49" i="17"/>
  <c r="I48" i="17"/>
  <c r="I47" i="17"/>
  <c r="I46" i="17"/>
  <c r="I45" i="17"/>
  <c r="I40" i="17"/>
  <c r="I39" i="17"/>
  <c r="H38" i="17"/>
  <c r="G38" i="17"/>
  <c r="F38" i="17"/>
  <c r="E38" i="17"/>
  <c r="D38" i="17"/>
  <c r="C38" i="17"/>
  <c r="I36" i="17"/>
  <c r="I35" i="17"/>
  <c r="I34" i="17"/>
  <c r="I33" i="17"/>
  <c r="I32" i="17"/>
  <c r="I31" i="17"/>
  <c r="I26" i="17"/>
  <c r="I25" i="17"/>
  <c r="H24" i="17"/>
  <c r="G24" i="17"/>
  <c r="E24" i="17"/>
  <c r="C24" i="17"/>
  <c r="I21" i="17"/>
  <c r="I20" i="17"/>
  <c r="I19" i="17"/>
  <c r="I18" i="17"/>
  <c r="I17" i="17"/>
  <c r="I12" i="17"/>
  <c r="I11" i="17"/>
  <c r="H10" i="17"/>
  <c r="G10" i="17"/>
  <c r="C10" i="17"/>
  <c r="B10" i="17"/>
  <c r="I8" i="17"/>
  <c r="I7" i="17"/>
  <c r="I6" i="17"/>
  <c r="I5" i="17"/>
  <c r="I4" i="17"/>
  <c r="I3" i="17"/>
  <c r="B48" i="13"/>
  <c r="H18" i="14"/>
  <c r="H17" i="14"/>
  <c r="G16" i="14"/>
  <c r="F16" i="14"/>
  <c r="E16" i="14"/>
  <c r="D16" i="14"/>
  <c r="C16" i="14"/>
  <c r="B16" i="14"/>
  <c r="H15" i="14"/>
  <c r="H14" i="14"/>
  <c r="H13" i="14"/>
  <c r="H12" i="14"/>
  <c r="H9" i="14"/>
  <c r="H8" i="14"/>
  <c r="G7" i="14"/>
  <c r="F7" i="14"/>
  <c r="E7" i="14"/>
  <c r="D7" i="14"/>
  <c r="C7" i="14"/>
  <c r="B7" i="14"/>
  <c r="H6" i="14"/>
  <c r="H5" i="14"/>
  <c r="H4" i="14"/>
  <c r="H3" i="14"/>
  <c r="I62" i="16"/>
  <c r="I61" i="16"/>
  <c r="H60" i="16"/>
  <c r="G60" i="16"/>
  <c r="F60" i="16"/>
  <c r="E60" i="16"/>
  <c r="D60" i="16"/>
  <c r="C60" i="16"/>
  <c r="B60" i="16"/>
  <c r="I59" i="16"/>
  <c r="I58" i="16"/>
  <c r="I57" i="16"/>
  <c r="I56" i="16"/>
  <c r="I55" i="16"/>
  <c r="I54" i="16"/>
  <c r="I50" i="16"/>
  <c r="I49" i="16"/>
  <c r="H48" i="16"/>
  <c r="G48" i="16"/>
  <c r="F48" i="16"/>
  <c r="E48" i="16"/>
  <c r="D48" i="16"/>
  <c r="C48" i="16"/>
  <c r="I47" i="16"/>
  <c r="I45" i="16"/>
  <c r="I44" i="16"/>
  <c r="I43" i="16"/>
  <c r="I42" i="16"/>
  <c r="I37" i="16"/>
  <c r="I36" i="16"/>
  <c r="H35" i="16"/>
  <c r="G35" i="16"/>
  <c r="F35" i="16"/>
  <c r="E35" i="16"/>
  <c r="D35" i="16"/>
  <c r="C35" i="16"/>
  <c r="B35" i="16"/>
  <c r="I34" i="16"/>
  <c r="I33" i="16"/>
  <c r="I32" i="16"/>
  <c r="I31" i="16"/>
  <c r="I30" i="16"/>
  <c r="I29" i="16"/>
  <c r="I24" i="16"/>
  <c r="I23" i="16"/>
  <c r="I11" i="16"/>
  <c r="I10" i="16"/>
  <c r="H9" i="16"/>
  <c r="G9" i="16"/>
  <c r="F9" i="16"/>
  <c r="E9" i="16"/>
  <c r="D9" i="16"/>
  <c r="C9" i="16"/>
  <c r="B9" i="16"/>
  <c r="I8" i="16"/>
  <c r="I7" i="16"/>
  <c r="I6" i="16"/>
  <c r="I5" i="16"/>
  <c r="I3" i="16"/>
  <c r="H45" i="15"/>
  <c r="H44" i="15"/>
  <c r="G43" i="15"/>
  <c r="F43" i="15"/>
  <c r="E43" i="15"/>
  <c r="D43" i="15"/>
  <c r="C43" i="15"/>
  <c r="B43" i="15"/>
  <c r="H42" i="15"/>
  <c r="H41" i="15"/>
  <c r="H40" i="15"/>
  <c r="H39" i="15"/>
  <c r="H36" i="15"/>
  <c r="H35" i="15"/>
  <c r="G34" i="15"/>
  <c r="F34" i="15"/>
  <c r="E34" i="15"/>
  <c r="D34" i="15"/>
  <c r="C34" i="15"/>
  <c r="B34" i="15"/>
  <c r="H33" i="15"/>
  <c r="H32" i="15"/>
  <c r="H31" i="15"/>
  <c r="H30" i="15"/>
  <c r="H27" i="15"/>
  <c r="H26" i="15"/>
  <c r="H18" i="15"/>
  <c r="H17" i="15"/>
  <c r="H9" i="15"/>
  <c r="H8" i="15"/>
  <c r="G7" i="15"/>
  <c r="F7" i="15"/>
  <c r="E7" i="15"/>
  <c r="D7" i="15"/>
  <c r="C7" i="15"/>
  <c r="B7" i="15"/>
  <c r="H5" i="15"/>
  <c r="H4" i="15"/>
  <c r="H3" i="15"/>
  <c r="I63" i="17" l="1"/>
  <c r="H7" i="14"/>
  <c r="I60" i="16"/>
  <c r="H16" i="14"/>
  <c r="I51" i="17"/>
  <c r="H34" i="18"/>
  <c r="H43" i="18"/>
  <c r="H43" i="15"/>
  <c r="I38" i="17"/>
  <c r="H7" i="18"/>
  <c r="I24" i="17"/>
  <c r="H16" i="18"/>
  <c r="I48" i="16"/>
  <c r="H34" i="15"/>
  <c r="I35" i="16"/>
  <c r="I9" i="16"/>
  <c r="H7" i="15"/>
  <c r="B48" i="11"/>
  <c r="H13" i="12"/>
  <c r="H45" i="14"/>
  <c r="H44" i="14"/>
  <c r="G43" i="14"/>
  <c r="F43" i="14"/>
  <c r="E43" i="14"/>
  <c r="D43" i="14"/>
  <c r="C43" i="14"/>
  <c r="B43" i="14"/>
  <c r="H42" i="14"/>
  <c r="H41" i="14"/>
  <c r="H40" i="14"/>
  <c r="H39" i="14"/>
  <c r="H36" i="14"/>
  <c r="H35" i="14"/>
  <c r="G34" i="14"/>
  <c r="F34" i="14"/>
  <c r="E34" i="14"/>
  <c r="D34" i="14"/>
  <c r="C34" i="14"/>
  <c r="B34" i="14"/>
  <c r="H32" i="14"/>
  <c r="H31" i="14"/>
  <c r="H30" i="14"/>
  <c r="H27" i="14"/>
  <c r="H26" i="14"/>
  <c r="G25" i="14"/>
  <c r="F25" i="14"/>
  <c r="E25" i="14"/>
  <c r="D25" i="14"/>
  <c r="C25" i="14"/>
  <c r="B25" i="14"/>
  <c r="H24" i="14"/>
  <c r="H23" i="14"/>
  <c r="H22" i="14"/>
  <c r="H21" i="14"/>
  <c r="I62" i="13"/>
  <c r="I61" i="13"/>
  <c r="H60" i="13"/>
  <c r="G60" i="13"/>
  <c r="F60" i="13"/>
  <c r="E60" i="13"/>
  <c r="D60" i="13"/>
  <c r="C60" i="13"/>
  <c r="B60" i="13"/>
  <c r="I59" i="13"/>
  <c r="I58" i="13"/>
  <c r="I57" i="13"/>
  <c r="I56" i="13"/>
  <c r="I55" i="13"/>
  <c r="I54" i="13"/>
  <c r="I50" i="13"/>
  <c r="I49" i="13"/>
  <c r="H48" i="13"/>
  <c r="G48" i="13"/>
  <c r="F48" i="13"/>
  <c r="E48" i="13"/>
  <c r="D48" i="13"/>
  <c r="C48" i="13"/>
  <c r="I47" i="13"/>
  <c r="I46" i="13"/>
  <c r="I45" i="13"/>
  <c r="I44" i="13"/>
  <c r="I43" i="13"/>
  <c r="I42" i="13"/>
  <c r="I37" i="13"/>
  <c r="I36" i="13"/>
  <c r="H35" i="13"/>
  <c r="G35" i="13"/>
  <c r="F35" i="13"/>
  <c r="E35" i="13"/>
  <c r="D35" i="13"/>
  <c r="C35" i="13"/>
  <c r="B35" i="13"/>
  <c r="I34" i="13"/>
  <c r="I33" i="13"/>
  <c r="I32" i="13"/>
  <c r="I31" i="13"/>
  <c r="I30" i="13"/>
  <c r="I29" i="13"/>
  <c r="I24" i="13"/>
  <c r="I23" i="13"/>
  <c r="H22" i="13"/>
  <c r="G22" i="13"/>
  <c r="F22" i="13"/>
  <c r="E22" i="13"/>
  <c r="D22" i="13"/>
  <c r="C22" i="13"/>
  <c r="B22" i="13"/>
  <c r="I21" i="13"/>
  <c r="I20" i="13"/>
  <c r="I19" i="13"/>
  <c r="I18" i="13"/>
  <c r="I17" i="13"/>
  <c r="I16" i="13"/>
  <c r="I11" i="13"/>
  <c r="I10" i="13"/>
  <c r="H9" i="13"/>
  <c r="G9" i="13"/>
  <c r="F9" i="13"/>
  <c r="I8" i="13"/>
  <c r="I7" i="13"/>
  <c r="I6" i="13"/>
  <c r="I5" i="13"/>
  <c r="I4" i="13"/>
  <c r="I3" i="13"/>
  <c r="E48" i="9"/>
  <c r="G48" i="9"/>
  <c r="F48" i="9"/>
  <c r="C48" i="9"/>
  <c r="D48" i="9"/>
  <c r="K62" i="17" l="1"/>
  <c r="I60" i="13"/>
  <c r="K61" i="16"/>
  <c r="I35" i="13"/>
  <c r="H43" i="14"/>
  <c r="I22" i="13"/>
  <c r="H34" i="14"/>
  <c r="H25" i="14"/>
  <c r="I9" i="13"/>
  <c r="I48" i="13"/>
  <c r="H45" i="12"/>
  <c r="H44" i="12"/>
  <c r="G43" i="12"/>
  <c r="F43" i="12"/>
  <c r="E43" i="12"/>
  <c r="D43" i="12"/>
  <c r="C43" i="12"/>
  <c r="B43" i="12"/>
  <c r="H42" i="12"/>
  <c r="H41" i="12"/>
  <c r="H40" i="12"/>
  <c r="H39" i="12"/>
  <c r="H36" i="12"/>
  <c r="H35" i="12"/>
  <c r="G34" i="12"/>
  <c r="F34" i="12"/>
  <c r="E34" i="12"/>
  <c r="D34" i="12"/>
  <c r="C34" i="12"/>
  <c r="B34" i="12"/>
  <c r="H33" i="12"/>
  <c r="H32" i="12"/>
  <c r="H31" i="12"/>
  <c r="H30" i="12"/>
  <c r="H27" i="12"/>
  <c r="H26" i="12"/>
  <c r="G25" i="12"/>
  <c r="F25" i="12"/>
  <c r="E25" i="12"/>
  <c r="D25" i="12"/>
  <c r="C25" i="12"/>
  <c r="B25" i="12"/>
  <c r="H24" i="12"/>
  <c r="H23" i="12"/>
  <c r="H22" i="12"/>
  <c r="H21" i="12"/>
  <c r="H18" i="12"/>
  <c r="H17" i="12"/>
  <c r="G16" i="12"/>
  <c r="F16" i="12"/>
  <c r="E16" i="12"/>
  <c r="D16" i="12"/>
  <c r="C16" i="12"/>
  <c r="B16" i="12"/>
  <c r="H15" i="12"/>
  <c r="H14" i="12"/>
  <c r="H12" i="12"/>
  <c r="H9" i="12"/>
  <c r="H8" i="12"/>
  <c r="G7" i="12"/>
  <c r="F7" i="12"/>
  <c r="F3" i="11" s="1"/>
  <c r="F9" i="11" s="1"/>
  <c r="E7" i="12"/>
  <c r="D7" i="12"/>
  <c r="D9" i="11" s="1"/>
  <c r="C7" i="12"/>
  <c r="C3" i="11" s="1"/>
  <c r="C9" i="11" s="1"/>
  <c r="B7" i="12"/>
  <c r="B3" i="11" s="1"/>
  <c r="B9" i="11" s="1"/>
  <c r="H6" i="12"/>
  <c r="H5" i="12"/>
  <c r="H4" i="12"/>
  <c r="H3" i="12"/>
  <c r="I62" i="11"/>
  <c r="I61" i="11"/>
  <c r="H60" i="11"/>
  <c r="G60" i="11"/>
  <c r="F60" i="11"/>
  <c r="E60" i="11"/>
  <c r="D60" i="11"/>
  <c r="C60" i="11"/>
  <c r="B60" i="11"/>
  <c r="I59" i="11"/>
  <c r="I58" i="11"/>
  <c r="I57" i="11"/>
  <c r="I56" i="11"/>
  <c r="I55" i="11"/>
  <c r="I54" i="11"/>
  <c r="I50" i="11"/>
  <c r="I49" i="11"/>
  <c r="H48" i="11"/>
  <c r="G48" i="11"/>
  <c r="F48" i="11"/>
  <c r="E48" i="11"/>
  <c r="D48" i="11"/>
  <c r="C48" i="11"/>
  <c r="I47" i="11"/>
  <c r="I46" i="11"/>
  <c r="I45" i="11"/>
  <c r="I44" i="11"/>
  <c r="I43" i="11"/>
  <c r="I42" i="11"/>
  <c r="I37" i="11"/>
  <c r="I36" i="11"/>
  <c r="H35" i="11"/>
  <c r="G35" i="11"/>
  <c r="F35" i="11"/>
  <c r="E35" i="11"/>
  <c r="D35" i="11"/>
  <c r="C35" i="11"/>
  <c r="B35" i="11"/>
  <c r="I34" i="11"/>
  <c r="I33" i="11"/>
  <c r="I32" i="11"/>
  <c r="I31" i="11"/>
  <c r="I30" i="11"/>
  <c r="I29" i="11"/>
  <c r="I24" i="11"/>
  <c r="I23" i="11"/>
  <c r="H22" i="11"/>
  <c r="G22" i="11"/>
  <c r="F22" i="11"/>
  <c r="E22" i="11"/>
  <c r="D22" i="11"/>
  <c r="C22" i="11"/>
  <c r="B22" i="11"/>
  <c r="I21" i="11"/>
  <c r="I20" i="11"/>
  <c r="I19" i="11"/>
  <c r="I18" i="11"/>
  <c r="I17" i="11"/>
  <c r="I16" i="11"/>
  <c r="I11" i="11"/>
  <c r="I10" i="11"/>
  <c r="H9" i="11"/>
  <c r="G9" i="11"/>
  <c r="E9" i="11"/>
  <c r="I8" i="11"/>
  <c r="I7" i="11"/>
  <c r="I6" i="11"/>
  <c r="I5" i="11"/>
  <c r="I4" i="11"/>
  <c r="I3" i="11" l="1"/>
  <c r="K61" i="13"/>
  <c r="H34" i="12"/>
  <c r="I48" i="11"/>
  <c r="I35" i="11"/>
  <c r="H25" i="12"/>
  <c r="I22" i="11"/>
  <c r="I60" i="11"/>
  <c r="H16" i="12"/>
  <c r="H43" i="12"/>
  <c r="H7" i="12"/>
  <c r="I9" i="11"/>
  <c r="B48" i="7"/>
  <c r="K61" i="11" l="1"/>
  <c r="H45" i="10"/>
  <c r="H44" i="10"/>
  <c r="G43" i="10"/>
  <c r="F43" i="10"/>
  <c r="E43" i="10"/>
  <c r="D43" i="10"/>
  <c r="C43" i="10"/>
  <c r="B43" i="10"/>
  <c r="H42" i="10"/>
  <c r="H41" i="10"/>
  <c r="H40" i="10"/>
  <c r="H39" i="10"/>
  <c r="H36" i="10"/>
  <c r="H35" i="10"/>
  <c r="G34" i="10"/>
  <c r="F34" i="10"/>
  <c r="E34" i="10"/>
  <c r="D34" i="10"/>
  <c r="C34" i="10"/>
  <c r="B34" i="10"/>
  <c r="H33" i="10"/>
  <c r="H31" i="10"/>
  <c r="H30" i="10"/>
  <c r="H27" i="10"/>
  <c r="H26" i="10"/>
  <c r="G25" i="10"/>
  <c r="F25" i="10"/>
  <c r="E25" i="10"/>
  <c r="D25" i="10"/>
  <c r="C25" i="10"/>
  <c r="B25" i="10"/>
  <c r="H24" i="10"/>
  <c r="H23" i="10"/>
  <c r="H22" i="10"/>
  <c r="H21" i="10"/>
  <c r="H18" i="10"/>
  <c r="H17" i="10"/>
  <c r="G16" i="10"/>
  <c r="F16" i="10"/>
  <c r="E16" i="10"/>
  <c r="D16" i="10"/>
  <c r="C16" i="10"/>
  <c r="B16" i="10"/>
  <c r="H15" i="10"/>
  <c r="H14" i="10"/>
  <c r="H13" i="10"/>
  <c r="H12" i="10"/>
  <c r="H9" i="10"/>
  <c r="H8" i="10"/>
  <c r="G7" i="10"/>
  <c r="F7" i="10"/>
  <c r="E7" i="10"/>
  <c r="E3" i="9" s="1"/>
  <c r="E9" i="9" s="1"/>
  <c r="D7" i="10"/>
  <c r="D3" i="9" s="1"/>
  <c r="D9" i="9" s="1"/>
  <c r="C7" i="10"/>
  <c r="C3" i="9" s="1"/>
  <c r="C9" i="9" s="1"/>
  <c r="B7" i="10"/>
  <c r="B3" i="9" s="1"/>
  <c r="B9" i="9" s="1"/>
  <c r="H6" i="10"/>
  <c r="H5" i="10"/>
  <c r="H4" i="10"/>
  <c r="H3" i="10"/>
  <c r="I62" i="9"/>
  <c r="I61" i="9"/>
  <c r="H60" i="9"/>
  <c r="G60" i="9"/>
  <c r="F60" i="9"/>
  <c r="E60" i="9"/>
  <c r="D60" i="9"/>
  <c r="C60" i="9"/>
  <c r="B60" i="9"/>
  <c r="I59" i="9"/>
  <c r="I58" i="9"/>
  <c r="I57" i="9"/>
  <c r="I56" i="9"/>
  <c r="I55" i="9"/>
  <c r="I54" i="9"/>
  <c r="I50" i="9"/>
  <c r="I49" i="9"/>
  <c r="H48" i="9"/>
  <c r="B48" i="9"/>
  <c r="I47" i="9"/>
  <c r="I46" i="9"/>
  <c r="I45" i="9"/>
  <c r="I44" i="9"/>
  <c r="I43" i="9"/>
  <c r="I42" i="9"/>
  <c r="I37" i="9"/>
  <c r="I36" i="9"/>
  <c r="H35" i="9"/>
  <c r="G35" i="9"/>
  <c r="F35" i="9"/>
  <c r="E35" i="9"/>
  <c r="D35" i="9"/>
  <c r="C35" i="9"/>
  <c r="B35" i="9"/>
  <c r="I34" i="9"/>
  <c r="I33" i="9"/>
  <c r="I31" i="9"/>
  <c r="I30" i="9"/>
  <c r="I29" i="9"/>
  <c r="I24" i="9"/>
  <c r="I23" i="9"/>
  <c r="H22" i="9"/>
  <c r="G22" i="9"/>
  <c r="F22" i="9"/>
  <c r="E22" i="9"/>
  <c r="D22" i="9"/>
  <c r="C22" i="9"/>
  <c r="B22" i="9"/>
  <c r="I21" i="9"/>
  <c r="I20" i="9"/>
  <c r="I19" i="9"/>
  <c r="I18" i="9"/>
  <c r="I17" i="9"/>
  <c r="I16" i="9"/>
  <c r="I11" i="9"/>
  <c r="I10" i="9"/>
  <c r="H9" i="9"/>
  <c r="G9" i="9"/>
  <c r="F9" i="9"/>
  <c r="I8" i="9"/>
  <c r="I7" i="9"/>
  <c r="I6" i="9"/>
  <c r="I5" i="9"/>
  <c r="I4" i="9"/>
  <c r="I3" i="9" l="1"/>
  <c r="H34" i="10"/>
  <c r="I35" i="9"/>
  <c r="H16" i="10"/>
  <c r="H7" i="10"/>
  <c r="I48" i="9"/>
  <c r="I22" i="9"/>
  <c r="I60" i="9"/>
  <c r="H43" i="10"/>
  <c r="H25" i="10"/>
  <c r="I9" i="9"/>
  <c r="B48" i="5"/>
  <c r="K61" i="9" l="1"/>
  <c r="H45" i="8"/>
  <c r="H44" i="8"/>
  <c r="G43" i="8"/>
  <c r="G54" i="7" s="1"/>
  <c r="F43" i="8"/>
  <c r="F54" i="7" s="1"/>
  <c r="F60" i="7" s="1"/>
  <c r="E43" i="8"/>
  <c r="E60" i="7" s="1"/>
  <c r="D43" i="8"/>
  <c r="C43" i="8"/>
  <c r="C54" i="7" s="1"/>
  <c r="C60" i="7" s="1"/>
  <c r="B43" i="8"/>
  <c r="B54" i="7" s="1"/>
  <c r="B60" i="7" s="1"/>
  <c r="H42" i="8"/>
  <c r="H41" i="8"/>
  <c r="H40" i="8"/>
  <c r="H39" i="8"/>
  <c r="H36" i="8"/>
  <c r="H35" i="8"/>
  <c r="G34" i="8"/>
  <c r="F34" i="8"/>
  <c r="E34" i="8"/>
  <c r="D34" i="8"/>
  <c r="C34" i="8"/>
  <c r="B34" i="8"/>
  <c r="H33" i="8"/>
  <c r="H32" i="8"/>
  <c r="H31" i="8"/>
  <c r="H30" i="8"/>
  <c r="H27" i="8"/>
  <c r="H26" i="8"/>
  <c r="G25" i="8"/>
  <c r="F25" i="8"/>
  <c r="E25" i="8"/>
  <c r="D25" i="8"/>
  <c r="C25" i="8"/>
  <c r="B25" i="8"/>
  <c r="H24" i="8"/>
  <c r="H23" i="8"/>
  <c r="H22" i="8"/>
  <c r="H21" i="8"/>
  <c r="H18" i="8"/>
  <c r="H17" i="8"/>
  <c r="G16" i="8"/>
  <c r="F16" i="8"/>
  <c r="E16" i="8"/>
  <c r="D16" i="8"/>
  <c r="C16" i="8"/>
  <c r="B16" i="8"/>
  <c r="H15" i="8"/>
  <c r="H14" i="8"/>
  <c r="H13" i="8"/>
  <c r="H12" i="8"/>
  <c r="H9" i="8"/>
  <c r="H8" i="8"/>
  <c r="G7" i="8"/>
  <c r="F7" i="8"/>
  <c r="E7" i="8"/>
  <c r="D7" i="8"/>
  <c r="C7" i="8"/>
  <c r="B7" i="8"/>
  <c r="H6" i="8"/>
  <c r="H5" i="8"/>
  <c r="H4" i="8"/>
  <c r="H3" i="8"/>
  <c r="I62" i="7"/>
  <c r="I61" i="7"/>
  <c r="H60" i="7"/>
  <c r="G60" i="7"/>
  <c r="I59" i="7"/>
  <c r="I58" i="7"/>
  <c r="I57" i="7"/>
  <c r="I56" i="7"/>
  <c r="I55" i="7"/>
  <c r="I50" i="7"/>
  <c r="I49" i="7"/>
  <c r="H48" i="7"/>
  <c r="G48" i="7"/>
  <c r="F48" i="7"/>
  <c r="E48" i="7"/>
  <c r="D48" i="7"/>
  <c r="C48" i="7"/>
  <c r="I47" i="7"/>
  <c r="I46" i="7"/>
  <c r="I45" i="7"/>
  <c r="I44" i="7"/>
  <c r="I43" i="7"/>
  <c r="I42" i="7"/>
  <c r="I37" i="7"/>
  <c r="I36" i="7"/>
  <c r="H35" i="7"/>
  <c r="G35" i="7"/>
  <c r="F35" i="7"/>
  <c r="E35" i="7"/>
  <c r="D35" i="7"/>
  <c r="C35" i="7"/>
  <c r="B35" i="7"/>
  <c r="I34" i="7"/>
  <c r="I33" i="7"/>
  <c r="I32" i="7"/>
  <c r="I31" i="7"/>
  <c r="I30" i="7"/>
  <c r="I29" i="7"/>
  <c r="I24" i="7"/>
  <c r="I23" i="7"/>
  <c r="H22" i="7"/>
  <c r="G22" i="7"/>
  <c r="F22" i="7"/>
  <c r="E22" i="7"/>
  <c r="D22" i="7"/>
  <c r="C22" i="7"/>
  <c r="B22" i="7"/>
  <c r="I21" i="7"/>
  <c r="I20" i="7"/>
  <c r="I19" i="7"/>
  <c r="I18" i="7"/>
  <c r="I17" i="7"/>
  <c r="I16" i="7"/>
  <c r="I11" i="7"/>
  <c r="I10" i="7"/>
  <c r="H9" i="7"/>
  <c r="G9" i="7"/>
  <c r="F9" i="7"/>
  <c r="E9" i="7"/>
  <c r="D9" i="7"/>
  <c r="C9" i="7"/>
  <c r="B9" i="7"/>
  <c r="I8" i="7"/>
  <c r="I7" i="7"/>
  <c r="I6" i="7"/>
  <c r="I5" i="7"/>
  <c r="I4" i="7"/>
  <c r="I3" i="7"/>
  <c r="H45" i="6"/>
  <c r="H44" i="6"/>
  <c r="G43" i="6"/>
  <c r="F43" i="6"/>
  <c r="E43" i="6"/>
  <c r="D43" i="6"/>
  <c r="C43" i="6"/>
  <c r="B43" i="6"/>
  <c r="H42" i="6"/>
  <c r="H41" i="6"/>
  <c r="H40" i="6"/>
  <c r="H39" i="6"/>
  <c r="H36" i="6"/>
  <c r="H35" i="6"/>
  <c r="G34" i="6"/>
  <c r="F34" i="6"/>
  <c r="E34" i="6"/>
  <c r="D34" i="6"/>
  <c r="C34" i="6"/>
  <c r="B34" i="6"/>
  <c r="H33" i="6"/>
  <c r="H32" i="6"/>
  <c r="H31" i="6"/>
  <c r="H30" i="6"/>
  <c r="H27" i="6"/>
  <c r="H26" i="6"/>
  <c r="G25" i="6"/>
  <c r="F25" i="6"/>
  <c r="E25" i="6"/>
  <c r="D25" i="6"/>
  <c r="C25" i="6"/>
  <c r="B25" i="6"/>
  <c r="H24" i="6"/>
  <c r="H23" i="6"/>
  <c r="H22" i="6"/>
  <c r="H21" i="6"/>
  <c r="H18" i="6"/>
  <c r="H17" i="6"/>
  <c r="G16" i="6"/>
  <c r="F16" i="6"/>
  <c r="E16" i="6"/>
  <c r="D16" i="6"/>
  <c r="C16" i="6"/>
  <c r="B16" i="6"/>
  <c r="H15" i="6"/>
  <c r="H14" i="6"/>
  <c r="H13" i="6"/>
  <c r="H12" i="6"/>
  <c r="H9" i="6"/>
  <c r="H8" i="6"/>
  <c r="G7" i="6"/>
  <c r="F7" i="6"/>
  <c r="E7" i="6"/>
  <c r="D7" i="6"/>
  <c r="C7" i="6"/>
  <c r="B7" i="6"/>
  <c r="H6" i="6"/>
  <c r="H5" i="6"/>
  <c r="H4" i="6"/>
  <c r="H3" i="6"/>
  <c r="I62" i="5"/>
  <c r="I61" i="5"/>
  <c r="H60" i="5"/>
  <c r="G60" i="5"/>
  <c r="F60" i="5"/>
  <c r="E60" i="5"/>
  <c r="D60" i="5"/>
  <c r="C60" i="5"/>
  <c r="B60" i="5"/>
  <c r="I59" i="5"/>
  <c r="I58" i="5"/>
  <c r="I57" i="5"/>
  <c r="I56" i="5"/>
  <c r="I55" i="5"/>
  <c r="I54" i="5"/>
  <c r="I50" i="5"/>
  <c r="I49" i="5"/>
  <c r="H48" i="5"/>
  <c r="G48" i="5"/>
  <c r="F48" i="5"/>
  <c r="E48" i="5"/>
  <c r="D48" i="5"/>
  <c r="C48" i="5"/>
  <c r="I47" i="5"/>
  <c r="I46" i="5"/>
  <c r="I45" i="5"/>
  <c r="I44" i="5"/>
  <c r="I43" i="5"/>
  <c r="I42" i="5"/>
  <c r="I37" i="5"/>
  <c r="I36" i="5"/>
  <c r="H35" i="5"/>
  <c r="G35" i="5"/>
  <c r="F35" i="5"/>
  <c r="E35" i="5"/>
  <c r="D35" i="5"/>
  <c r="C35" i="5"/>
  <c r="B35" i="5"/>
  <c r="I34" i="5"/>
  <c r="I33" i="5"/>
  <c r="I32" i="5"/>
  <c r="I31" i="5"/>
  <c r="I30" i="5"/>
  <c r="I29" i="5"/>
  <c r="I24" i="5"/>
  <c r="I23" i="5"/>
  <c r="H22" i="5"/>
  <c r="G22" i="5"/>
  <c r="F22" i="5"/>
  <c r="E22" i="5"/>
  <c r="D22" i="5"/>
  <c r="C22" i="5"/>
  <c r="B22" i="5"/>
  <c r="I21" i="5"/>
  <c r="I20" i="5"/>
  <c r="I19" i="5"/>
  <c r="I18" i="5"/>
  <c r="I17" i="5"/>
  <c r="I16" i="5"/>
  <c r="I11" i="5"/>
  <c r="I10" i="5"/>
  <c r="H9" i="5"/>
  <c r="G9" i="5"/>
  <c r="F9" i="5"/>
  <c r="E9" i="5"/>
  <c r="D9" i="5"/>
  <c r="C9" i="5"/>
  <c r="B9" i="5"/>
  <c r="I8" i="5"/>
  <c r="I7" i="5"/>
  <c r="I6" i="5"/>
  <c r="I5" i="5"/>
  <c r="I4" i="5"/>
  <c r="I3" i="5"/>
  <c r="I58" i="1"/>
  <c r="I54" i="7" l="1"/>
  <c r="H43" i="8"/>
  <c r="H34" i="8"/>
  <c r="H25" i="8"/>
  <c r="H43" i="6"/>
  <c r="I35" i="7"/>
  <c r="I60" i="7"/>
  <c r="I48" i="7"/>
  <c r="H16" i="8"/>
  <c r="I22" i="7"/>
  <c r="H7" i="8"/>
  <c r="I9" i="7"/>
  <c r="H34" i="6"/>
  <c r="H16" i="6"/>
  <c r="I48" i="5"/>
  <c r="I22" i="5"/>
  <c r="I9" i="5"/>
  <c r="I60" i="5"/>
  <c r="I35" i="5"/>
  <c r="H7" i="6"/>
  <c r="H25" i="6"/>
  <c r="B48" i="1"/>
  <c r="H30" i="2"/>
  <c r="E25" i="2"/>
  <c r="K61" i="7" l="1"/>
  <c r="K61" i="5"/>
  <c r="B7" i="2"/>
  <c r="H45" i="4" l="1"/>
  <c r="H44" i="4"/>
  <c r="G43" i="4"/>
  <c r="F43" i="4"/>
  <c r="E43" i="4"/>
  <c r="D43" i="4"/>
  <c r="C43" i="4"/>
  <c r="B43" i="4"/>
  <c r="H42" i="4"/>
  <c r="H41" i="4"/>
  <c r="H40" i="4"/>
  <c r="H39" i="4"/>
  <c r="H36" i="4"/>
  <c r="H35" i="4"/>
  <c r="G34" i="4"/>
  <c r="F34" i="4"/>
  <c r="E34" i="4"/>
  <c r="D34" i="4"/>
  <c r="C34" i="4"/>
  <c r="B34" i="4"/>
  <c r="H33" i="4"/>
  <c r="H32" i="4"/>
  <c r="H31" i="4"/>
  <c r="H30" i="4"/>
  <c r="H27" i="4"/>
  <c r="H26" i="4"/>
  <c r="G25" i="4"/>
  <c r="F25" i="4"/>
  <c r="E25" i="4"/>
  <c r="D25" i="4"/>
  <c r="C25" i="4"/>
  <c r="B25" i="4"/>
  <c r="H24" i="4"/>
  <c r="H23" i="4"/>
  <c r="H22" i="4"/>
  <c r="H18" i="4"/>
  <c r="H17" i="4"/>
  <c r="G16" i="4"/>
  <c r="F16" i="4"/>
  <c r="E16" i="4"/>
  <c r="D16" i="4"/>
  <c r="C16" i="4"/>
  <c r="B16" i="4"/>
  <c r="H15" i="4"/>
  <c r="H14" i="4"/>
  <c r="H13" i="4"/>
  <c r="H12" i="4"/>
  <c r="H9" i="4"/>
  <c r="H8" i="4"/>
  <c r="G7" i="4"/>
  <c r="F7" i="4"/>
  <c r="E7" i="4"/>
  <c r="D7" i="4"/>
  <c r="C7" i="4"/>
  <c r="B7" i="4"/>
  <c r="H6" i="4"/>
  <c r="H5" i="4"/>
  <c r="H4" i="4"/>
  <c r="H3" i="4"/>
  <c r="I62" i="3"/>
  <c r="I61" i="3"/>
  <c r="H60" i="3"/>
  <c r="G60" i="3"/>
  <c r="F60" i="3"/>
  <c r="E60" i="3"/>
  <c r="D60" i="3"/>
  <c r="C60" i="3"/>
  <c r="B60" i="3"/>
  <c r="I59" i="3"/>
  <c r="I58" i="3"/>
  <c r="I57" i="3"/>
  <c r="I56" i="3"/>
  <c r="I55" i="3"/>
  <c r="I54" i="3"/>
  <c r="I50" i="3"/>
  <c r="I49" i="3"/>
  <c r="H48" i="3"/>
  <c r="G48" i="3"/>
  <c r="F48" i="3"/>
  <c r="E48" i="3"/>
  <c r="D48" i="3"/>
  <c r="C48" i="3"/>
  <c r="I47" i="3"/>
  <c r="I46" i="3"/>
  <c r="I45" i="3"/>
  <c r="I44" i="3"/>
  <c r="I43" i="3"/>
  <c r="I42" i="3"/>
  <c r="I37" i="3"/>
  <c r="I36" i="3"/>
  <c r="H35" i="3"/>
  <c r="G35" i="3"/>
  <c r="F35" i="3"/>
  <c r="E35" i="3"/>
  <c r="D35" i="3"/>
  <c r="C35" i="3"/>
  <c r="B35" i="3"/>
  <c r="I34" i="3"/>
  <c r="I33" i="3"/>
  <c r="I32" i="3"/>
  <c r="I31" i="3"/>
  <c r="I30" i="3"/>
  <c r="I29" i="3"/>
  <c r="I24" i="3"/>
  <c r="I23" i="3"/>
  <c r="H22" i="3"/>
  <c r="G22" i="3"/>
  <c r="F22" i="3"/>
  <c r="E22" i="3"/>
  <c r="D22" i="3"/>
  <c r="C22" i="3"/>
  <c r="B22" i="3"/>
  <c r="I21" i="3"/>
  <c r="I20" i="3"/>
  <c r="I19" i="3"/>
  <c r="I18" i="3"/>
  <c r="I17" i="3"/>
  <c r="I16" i="3"/>
  <c r="I11" i="3"/>
  <c r="I10" i="3"/>
  <c r="H9" i="3"/>
  <c r="G9" i="3"/>
  <c r="F9" i="3"/>
  <c r="E9" i="3"/>
  <c r="D9" i="3"/>
  <c r="C9" i="3"/>
  <c r="B9" i="3"/>
  <c r="I8" i="3"/>
  <c r="I7" i="3"/>
  <c r="I6" i="3"/>
  <c r="I5" i="3"/>
  <c r="I4" i="3"/>
  <c r="I3" i="3"/>
  <c r="H45" i="2"/>
  <c r="H44" i="2"/>
  <c r="G43" i="2"/>
  <c r="F43" i="2"/>
  <c r="E43" i="2"/>
  <c r="D43" i="2"/>
  <c r="C43" i="2"/>
  <c r="B43" i="2"/>
  <c r="H42" i="2"/>
  <c r="H41" i="2"/>
  <c r="H40" i="2"/>
  <c r="H39" i="2"/>
  <c r="H36" i="2"/>
  <c r="H35" i="2"/>
  <c r="G34" i="2"/>
  <c r="F34" i="2"/>
  <c r="E34" i="2"/>
  <c r="D34" i="2"/>
  <c r="C34" i="2"/>
  <c r="B34" i="2"/>
  <c r="H33" i="2"/>
  <c r="H32" i="2"/>
  <c r="H27" i="2"/>
  <c r="H26" i="2"/>
  <c r="G25" i="2"/>
  <c r="F25" i="2"/>
  <c r="D25" i="2"/>
  <c r="C25" i="2"/>
  <c r="B25" i="2"/>
  <c r="H24" i="2"/>
  <c r="H23" i="2"/>
  <c r="H22" i="2"/>
  <c r="H18" i="2"/>
  <c r="H17" i="2"/>
  <c r="G16" i="2"/>
  <c r="F16" i="2"/>
  <c r="E16" i="2"/>
  <c r="D16" i="2"/>
  <c r="C16" i="2"/>
  <c r="B16" i="2"/>
  <c r="H15" i="2"/>
  <c r="H14" i="2"/>
  <c r="H13" i="2"/>
  <c r="H12" i="2"/>
  <c r="H9" i="2"/>
  <c r="H8" i="2"/>
  <c r="G7" i="2"/>
  <c r="F7" i="2"/>
  <c r="E7" i="2"/>
  <c r="D7" i="2"/>
  <c r="C7" i="2"/>
  <c r="H6" i="2"/>
  <c r="H5" i="2"/>
  <c r="H4" i="2"/>
  <c r="H3" i="2"/>
  <c r="I62" i="1"/>
  <c r="I61" i="1"/>
  <c r="H60" i="1"/>
  <c r="G60" i="1"/>
  <c r="F60" i="1"/>
  <c r="E60" i="1"/>
  <c r="D60" i="1"/>
  <c r="C60" i="1"/>
  <c r="B60" i="1"/>
  <c r="I59" i="1"/>
  <c r="I57" i="1"/>
  <c r="I56" i="1"/>
  <c r="I55" i="1"/>
  <c r="I54" i="1"/>
  <c r="I50" i="1"/>
  <c r="I49" i="1"/>
  <c r="H48" i="1"/>
  <c r="G48" i="1"/>
  <c r="F48" i="1"/>
  <c r="E48" i="1"/>
  <c r="D48" i="1"/>
  <c r="C48" i="1"/>
  <c r="I47" i="1"/>
  <c r="I46" i="1"/>
  <c r="I45" i="1"/>
  <c r="I44" i="1"/>
  <c r="I43" i="1"/>
  <c r="I42" i="1"/>
  <c r="I37" i="1"/>
  <c r="I36" i="1"/>
  <c r="H35" i="1"/>
  <c r="G35" i="1"/>
  <c r="F35" i="1"/>
  <c r="E35" i="1"/>
  <c r="D35" i="1"/>
  <c r="C35" i="1"/>
  <c r="B35" i="1"/>
  <c r="I34" i="1"/>
  <c r="I33" i="1"/>
  <c r="I32" i="1"/>
  <c r="I31" i="1"/>
  <c r="I30" i="1"/>
  <c r="I29" i="1"/>
  <c r="I24" i="1"/>
  <c r="I23" i="1"/>
  <c r="H22" i="1"/>
  <c r="G22" i="1"/>
  <c r="F22" i="1"/>
  <c r="E22" i="1"/>
  <c r="D22" i="1"/>
  <c r="C22" i="1"/>
  <c r="B22" i="1"/>
  <c r="I21" i="1"/>
  <c r="I20" i="1"/>
  <c r="I19" i="1"/>
  <c r="I18" i="1"/>
  <c r="I17" i="1"/>
  <c r="I16" i="1"/>
  <c r="I11" i="1"/>
  <c r="I10" i="1"/>
  <c r="H9" i="1"/>
  <c r="G9" i="1"/>
  <c r="F9" i="1"/>
  <c r="E9" i="1"/>
  <c r="D9" i="1"/>
  <c r="B9" i="1"/>
  <c r="I8" i="1"/>
  <c r="I7" i="1"/>
  <c r="I6" i="1"/>
  <c r="I5" i="1"/>
  <c r="I4" i="1"/>
  <c r="I3" i="1"/>
  <c r="H43" i="4" l="1"/>
  <c r="H16" i="4"/>
  <c r="H7" i="4"/>
  <c r="I60" i="1"/>
  <c r="I22" i="3"/>
  <c r="H16" i="2"/>
  <c r="I48" i="3"/>
  <c r="H25" i="4"/>
  <c r="H43" i="2"/>
  <c r="H7" i="2"/>
  <c r="I9" i="3"/>
  <c r="I35" i="3"/>
  <c r="I60" i="3"/>
  <c r="H34" i="4"/>
  <c r="H34" i="2"/>
  <c r="H25" i="2"/>
  <c r="I48" i="1"/>
  <c r="I35" i="1"/>
  <c r="I22" i="1"/>
  <c r="I9" i="1"/>
  <c r="K61" i="3" l="1"/>
  <c r="J44" i="2"/>
  <c r="K61" i="1"/>
</calcChain>
</file>

<file path=xl/sharedStrings.xml><?xml version="1.0" encoding="utf-8"?>
<sst xmlns="http://schemas.openxmlformats.org/spreadsheetml/2006/main" count="1990" uniqueCount="69">
  <si>
    <t>Mon</t>
  </si>
  <si>
    <t>Tues</t>
  </si>
  <si>
    <t>Wed</t>
  </si>
  <si>
    <t>Thur</t>
  </si>
  <si>
    <t>Fri</t>
  </si>
  <si>
    <t>Sat</t>
  </si>
  <si>
    <t>Sun</t>
  </si>
  <si>
    <t>DATE</t>
  </si>
  <si>
    <t>Totals</t>
  </si>
  <si>
    <t>Med</t>
  </si>
  <si>
    <t>Chiro</t>
  </si>
  <si>
    <t>Pod</t>
  </si>
  <si>
    <t>PT</t>
  </si>
  <si>
    <t>MA</t>
  </si>
  <si>
    <t>IV</t>
  </si>
  <si>
    <t>TOTAL</t>
  </si>
  <si>
    <t>Covid Test</t>
  </si>
  <si>
    <t>Telehealth</t>
  </si>
  <si>
    <t>Covid test</t>
  </si>
  <si>
    <t>Total</t>
  </si>
  <si>
    <t>Lisa</t>
  </si>
  <si>
    <t>Bachman</t>
  </si>
  <si>
    <t>Nicole</t>
  </si>
  <si>
    <t>Nurse</t>
  </si>
  <si>
    <t>Bachman 2</t>
  </si>
  <si>
    <t>Mac</t>
  </si>
  <si>
    <t xml:space="preserve">Nicole </t>
  </si>
  <si>
    <t xml:space="preserve">Leven </t>
  </si>
  <si>
    <t>Fortunato</t>
  </si>
  <si>
    <t>Leven</t>
  </si>
  <si>
    <t>Shadani</t>
  </si>
  <si>
    <t xml:space="preserve">Shadani </t>
  </si>
  <si>
    <t xml:space="preserve">Allergy </t>
  </si>
  <si>
    <t>Osman</t>
  </si>
  <si>
    <t>osman</t>
  </si>
  <si>
    <t xml:space="preserve">leven </t>
  </si>
  <si>
    <t xml:space="preserve">osman </t>
  </si>
  <si>
    <t>ACU</t>
  </si>
  <si>
    <t>Laura</t>
  </si>
  <si>
    <t xml:space="preserve">acu </t>
  </si>
  <si>
    <t>Acu</t>
  </si>
  <si>
    <t>IV and MA</t>
  </si>
  <si>
    <t>IV &amp; MA</t>
  </si>
  <si>
    <t>o</t>
  </si>
  <si>
    <t>Allergy</t>
  </si>
  <si>
    <t>PT&amp;OT</t>
  </si>
  <si>
    <t>PT OT</t>
  </si>
  <si>
    <t>IV MA</t>
  </si>
  <si>
    <t>laura</t>
  </si>
  <si>
    <t>Accu</t>
  </si>
  <si>
    <t>PT/OT</t>
  </si>
  <si>
    <t>MA/IV</t>
  </si>
  <si>
    <t xml:space="preserve">ACU </t>
  </si>
  <si>
    <t xml:space="preserve">MO </t>
  </si>
  <si>
    <t xml:space="preserve">  </t>
  </si>
  <si>
    <t xml:space="preserve">mo </t>
  </si>
  <si>
    <t>mo</t>
  </si>
  <si>
    <t>allergy</t>
  </si>
  <si>
    <t xml:space="preserve">Laura/Ratliff </t>
  </si>
  <si>
    <t>MA IV</t>
  </si>
  <si>
    <t>Ratliff</t>
  </si>
  <si>
    <t>MA &amp; IV</t>
  </si>
  <si>
    <t>MO</t>
  </si>
  <si>
    <t>Mo</t>
  </si>
  <si>
    <t xml:space="preserve">Ratliff </t>
  </si>
  <si>
    <t xml:space="preserve">Mo </t>
  </si>
  <si>
    <t xml:space="preserve">   </t>
  </si>
  <si>
    <t>Nurse 2</t>
  </si>
  <si>
    <t>IV/MA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</si>
</sst>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2" xfId="0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62"/>
  <sheetViews>
    <sheetView topLeftCell="A31" workbookViewId="0">
      <selection activeCell="H42" sqref="H42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45663</v>
      </c>
      <c r="C2" s="4">
        <v>45664</v>
      </c>
      <c r="D2" s="4">
        <v>45665</v>
      </c>
      <c r="E2" s="4">
        <v>45666</v>
      </c>
      <c r="F2" s="4">
        <v>45667</v>
      </c>
      <c r="G2" s="4">
        <v>45668</v>
      </c>
      <c r="H2" s="4">
        <v>45669</v>
      </c>
      <c r="I2" s="2" t="s">
        <v>8</v>
      </c>
    </row>
    <row r="3" spans="1:11" x14ac:dyDescent="0.25">
      <c r="A3" s="5" t="s">
        <v>9</v>
      </c>
      <c r="B3" s="5">
        <v>79</v>
      </c>
      <c r="C3" s="5">
        <v>83</v>
      </c>
      <c r="D3" s="5">
        <v>92</v>
      </c>
      <c r="E3" s="5">
        <v>77</v>
      </c>
      <c r="F3" s="5">
        <v>89</v>
      </c>
      <c r="G3" s="5">
        <v>46</v>
      </c>
      <c r="H3" s="5">
        <v>0</v>
      </c>
      <c r="I3" s="6">
        <f t="shared" ref="I3:I11" si="0">SUM(B3:H3)</f>
        <v>466</v>
      </c>
    </row>
    <row r="4" spans="1:11" x14ac:dyDescent="0.25">
      <c r="A4" s="5" t="s">
        <v>10</v>
      </c>
      <c r="B4" s="5">
        <v>45</v>
      </c>
      <c r="C4" s="5">
        <v>50</v>
      </c>
      <c r="D4" s="5">
        <v>47</v>
      </c>
      <c r="E4" s="5">
        <v>35</v>
      </c>
      <c r="F4" s="5">
        <v>49</v>
      </c>
      <c r="G4" s="5">
        <v>18</v>
      </c>
      <c r="H4" s="5">
        <v>0</v>
      </c>
      <c r="I4" s="6">
        <f t="shared" si="0"/>
        <v>244</v>
      </c>
    </row>
    <row r="5" spans="1:11" x14ac:dyDescent="0.25">
      <c r="A5" s="5" t="s">
        <v>11</v>
      </c>
      <c r="B5" s="5">
        <v>2</v>
      </c>
      <c r="C5" s="5">
        <v>12</v>
      </c>
      <c r="D5" s="5">
        <v>29</v>
      </c>
      <c r="E5" s="5">
        <v>2</v>
      </c>
      <c r="F5" s="5">
        <v>15</v>
      </c>
      <c r="G5" s="5">
        <v>0</v>
      </c>
      <c r="H5" s="5">
        <v>0</v>
      </c>
      <c r="I5" s="6">
        <f t="shared" si="0"/>
        <v>60</v>
      </c>
    </row>
    <row r="6" spans="1:11" x14ac:dyDescent="0.25">
      <c r="A6" s="5" t="s">
        <v>12</v>
      </c>
      <c r="B6" s="5">
        <v>4</v>
      </c>
      <c r="C6" s="5">
        <v>3</v>
      </c>
      <c r="D6" s="5">
        <v>5</v>
      </c>
      <c r="E6" s="5">
        <v>0</v>
      </c>
      <c r="F6" s="5">
        <v>7</v>
      </c>
      <c r="G6" s="5">
        <v>0</v>
      </c>
      <c r="H6" s="5">
        <v>0</v>
      </c>
      <c r="I6" s="6">
        <f t="shared" si="0"/>
        <v>19</v>
      </c>
    </row>
    <row r="7" spans="1:11" x14ac:dyDescent="0.25">
      <c r="A7" s="5" t="s">
        <v>13</v>
      </c>
      <c r="B7" s="5">
        <v>2</v>
      </c>
      <c r="C7" s="5">
        <v>1</v>
      </c>
      <c r="D7" s="5">
        <v>3</v>
      </c>
      <c r="E7" s="5">
        <v>3</v>
      </c>
      <c r="F7" s="5">
        <v>1</v>
      </c>
      <c r="G7" s="5">
        <v>0</v>
      </c>
      <c r="H7" s="5">
        <v>0</v>
      </c>
      <c r="I7" s="6">
        <f t="shared" si="0"/>
        <v>10</v>
      </c>
    </row>
    <row r="8" spans="1:11" x14ac:dyDescent="0.25">
      <c r="A8" s="5" t="s">
        <v>14</v>
      </c>
      <c r="B8" s="5">
        <v>3</v>
      </c>
      <c r="C8" s="5">
        <v>0</v>
      </c>
      <c r="D8" s="5">
        <v>2</v>
      </c>
      <c r="E8" s="5">
        <v>1</v>
      </c>
      <c r="F8" s="5">
        <v>1</v>
      </c>
      <c r="G8" s="5">
        <v>0</v>
      </c>
      <c r="H8" s="5">
        <v>0</v>
      </c>
      <c r="I8" s="6">
        <f t="shared" si="0"/>
        <v>7</v>
      </c>
    </row>
    <row r="9" spans="1:11" x14ac:dyDescent="0.25">
      <c r="A9" s="7" t="s">
        <v>15</v>
      </c>
      <c r="B9" s="7">
        <f t="shared" ref="B9:H9" si="1">SUM(B3:B8)</f>
        <v>135</v>
      </c>
      <c r="C9" s="7">
        <f t="shared" si="1"/>
        <v>149</v>
      </c>
      <c r="D9" s="7">
        <f t="shared" si="1"/>
        <v>178</v>
      </c>
      <c r="E9" s="7">
        <f t="shared" si="1"/>
        <v>118</v>
      </c>
      <c r="F9" s="7">
        <f t="shared" si="1"/>
        <v>162</v>
      </c>
      <c r="G9" s="7">
        <f t="shared" si="1"/>
        <v>64</v>
      </c>
      <c r="H9" s="7">
        <f t="shared" si="1"/>
        <v>0</v>
      </c>
      <c r="I9" s="6">
        <f t="shared" si="0"/>
        <v>806</v>
      </c>
      <c r="J9" s="1"/>
      <c r="K9" s="1"/>
    </row>
    <row r="10" spans="1:11" x14ac:dyDescent="0.2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45670</v>
      </c>
      <c r="C15" s="4">
        <v>45671</v>
      </c>
      <c r="D15" s="4">
        <v>45672</v>
      </c>
      <c r="E15" s="4">
        <v>45673</v>
      </c>
      <c r="F15" s="4">
        <v>45674</v>
      </c>
      <c r="G15" s="4">
        <v>45675</v>
      </c>
      <c r="H15" s="4">
        <v>45676</v>
      </c>
      <c r="I15" s="2" t="s">
        <v>8</v>
      </c>
    </row>
    <row r="16" spans="1:11" x14ac:dyDescent="0.25">
      <c r="A16" s="5" t="s">
        <v>9</v>
      </c>
      <c r="B16" s="5">
        <v>82</v>
      </c>
      <c r="C16" s="5">
        <v>86</v>
      </c>
      <c r="D16" s="5">
        <v>97</v>
      </c>
      <c r="E16" s="5">
        <v>77</v>
      </c>
      <c r="F16" s="5">
        <v>99</v>
      </c>
      <c r="G16" s="5">
        <v>40</v>
      </c>
      <c r="H16" s="5">
        <v>0</v>
      </c>
      <c r="I16" s="6">
        <f>SUM(B16:H16)</f>
        <v>481</v>
      </c>
    </row>
    <row r="17" spans="1:11" x14ac:dyDescent="0.25">
      <c r="A17" s="5" t="s">
        <v>10</v>
      </c>
      <c r="B17" s="5">
        <v>48</v>
      </c>
      <c r="C17" s="5">
        <v>47</v>
      </c>
      <c r="D17" s="5">
        <v>54</v>
      </c>
      <c r="E17" s="5">
        <v>31</v>
      </c>
      <c r="F17" s="5">
        <v>45</v>
      </c>
      <c r="G17" s="5">
        <v>12</v>
      </c>
      <c r="H17" s="5">
        <v>0</v>
      </c>
      <c r="I17" s="6">
        <f t="shared" ref="I17:I21" si="2">SUM(B17:H17)</f>
        <v>237</v>
      </c>
    </row>
    <row r="18" spans="1:11" x14ac:dyDescent="0.25">
      <c r="A18" s="5" t="s">
        <v>11</v>
      </c>
      <c r="B18" s="5">
        <v>9</v>
      </c>
      <c r="C18" s="5">
        <v>6</v>
      </c>
      <c r="D18" s="5">
        <v>12</v>
      </c>
      <c r="E18" s="5">
        <v>0</v>
      </c>
      <c r="F18" s="5">
        <v>1</v>
      </c>
      <c r="G18" s="5">
        <v>0</v>
      </c>
      <c r="H18" s="5">
        <v>0</v>
      </c>
      <c r="I18" s="6">
        <f t="shared" si="2"/>
        <v>28</v>
      </c>
    </row>
    <row r="19" spans="1:11" x14ac:dyDescent="0.25">
      <c r="A19" s="5" t="s">
        <v>12</v>
      </c>
      <c r="B19" s="5">
        <v>5</v>
      </c>
      <c r="C19" s="5">
        <v>6</v>
      </c>
      <c r="D19" s="5">
        <v>6</v>
      </c>
      <c r="E19" s="5">
        <v>0</v>
      </c>
      <c r="F19" s="5">
        <v>5</v>
      </c>
      <c r="G19" s="5">
        <v>0</v>
      </c>
      <c r="H19" s="5">
        <v>0</v>
      </c>
      <c r="I19" s="6">
        <f t="shared" si="2"/>
        <v>22</v>
      </c>
    </row>
    <row r="20" spans="1:11" x14ac:dyDescent="0.25">
      <c r="A20" s="5" t="s">
        <v>13</v>
      </c>
      <c r="B20" s="5">
        <v>2</v>
      </c>
      <c r="C20" s="5">
        <v>3</v>
      </c>
      <c r="D20" s="5">
        <v>0</v>
      </c>
      <c r="E20" s="5">
        <v>1</v>
      </c>
      <c r="F20" s="5">
        <v>2</v>
      </c>
      <c r="G20" s="5">
        <v>0</v>
      </c>
      <c r="H20" s="5">
        <v>0</v>
      </c>
      <c r="I20" s="6">
        <f t="shared" si="2"/>
        <v>8</v>
      </c>
    </row>
    <row r="21" spans="1:11" x14ac:dyDescent="0.25">
      <c r="A21" s="5" t="s">
        <v>14</v>
      </c>
      <c r="B21" s="5">
        <v>2</v>
      </c>
      <c r="C21" s="5">
        <v>1</v>
      </c>
      <c r="D21" s="5">
        <v>0</v>
      </c>
      <c r="E21" s="5">
        <v>1</v>
      </c>
      <c r="F21" s="5">
        <v>1</v>
      </c>
      <c r="G21" s="5">
        <v>1</v>
      </c>
      <c r="H21" s="5">
        <v>0</v>
      </c>
      <c r="I21" s="6">
        <f t="shared" si="2"/>
        <v>6</v>
      </c>
    </row>
    <row r="22" spans="1:11" x14ac:dyDescent="0.25">
      <c r="A22" s="7" t="s">
        <v>15</v>
      </c>
      <c r="B22" s="7">
        <f t="shared" ref="B22:G22" si="3">SUM(B16:B21)</f>
        <v>148</v>
      </c>
      <c r="C22" s="7">
        <f t="shared" si="3"/>
        <v>149</v>
      </c>
      <c r="D22" s="7">
        <f t="shared" si="3"/>
        <v>169</v>
      </c>
      <c r="E22" s="7">
        <f t="shared" si="3"/>
        <v>110</v>
      </c>
      <c r="F22" s="7">
        <f t="shared" si="3"/>
        <v>153</v>
      </c>
      <c r="G22" s="7">
        <f t="shared" si="3"/>
        <v>53</v>
      </c>
      <c r="H22" s="7">
        <f>SUM(H16:H21)</f>
        <v>0</v>
      </c>
      <c r="I22" s="6">
        <f>SUM(B22:H22)</f>
        <v>782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45677</v>
      </c>
      <c r="C28" s="4">
        <v>45678</v>
      </c>
      <c r="D28" s="4">
        <v>45679</v>
      </c>
      <c r="E28" s="4">
        <v>45680</v>
      </c>
      <c r="F28" s="4">
        <v>45681</v>
      </c>
      <c r="G28" s="4">
        <v>45682</v>
      </c>
      <c r="H28" s="4">
        <v>45683</v>
      </c>
      <c r="I28" s="2" t="s">
        <v>8</v>
      </c>
    </row>
    <row r="29" spans="1:11" x14ac:dyDescent="0.25">
      <c r="A29" s="5" t="s">
        <v>9</v>
      </c>
      <c r="B29" s="5">
        <v>86</v>
      </c>
      <c r="C29" s="5">
        <v>76</v>
      </c>
      <c r="D29" s="5">
        <v>87</v>
      </c>
      <c r="E29" s="5">
        <v>78</v>
      </c>
      <c r="F29" s="5">
        <v>84</v>
      </c>
      <c r="G29" s="5">
        <v>44</v>
      </c>
      <c r="H29" s="5">
        <v>0</v>
      </c>
      <c r="I29" s="6">
        <f t="shared" ref="I29:I37" si="4">SUM(B29:H29)</f>
        <v>455</v>
      </c>
    </row>
    <row r="30" spans="1:11" x14ac:dyDescent="0.25">
      <c r="A30" s="5" t="s">
        <v>10</v>
      </c>
      <c r="B30" s="5">
        <v>39</v>
      </c>
      <c r="C30" s="5">
        <v>46</v>
      </c>
      <c r="D30" s="5">
        <v>49</v>
      </c>
      <c r="E30" s="5">
        <v>37</v>
      </c>
      <c r="F30" s="5">
        <v>52</v>
      </c>
      <c r="G30" s="5">
        <v>20</v>
      </c>
      <c r="H30" s="5">
        <v>0</v>
      </c>
      <c r="I30" s="6">
        <f t="shared" si="4"/>
        <v>243</v>
      </c>
    </row>
    <row r="31" spans="1:11" x14ac:dyDescent="0.25">
      <c r="A31" s="5" t="s">
        <v>11</v>
      </c>
      <c r="B31" s="5">
        <v>10</v>
      </c>
      <c r="C31" s="5">
        <v>11</v>
      </c>
      <c r="D31" s="5">
        <v>22</v>
      </c>
      <c r="E31" s="5">
        <v>1</v>
      </c>
      <c r="F31" s="5">
        <v>11</v>
      </c>
      <c r="G31" s="5">
        <v>0</v>
      </c>
      <c r="H31" s="5">
        <v>0</v>
      </c>
      <c r="I31" s="6">
        <f t="shared" si="4"/>
        <v>55</v>
      </c>
    </row>
    <row r="32" spans="1:11" x14ac:dyDescent="0.25">
      <c r="A32" s="5" t="s">
        <v>12</v>
      </c>
      <c r="B32" s="5">
        <v>0</v>
      </c>
      <c r="C32" s="5">
        <v>6</v>
      </c>
      <c r="D32" s="5">
        <v>7</v>
      </c>
      <c r="E32" s="5">
        <v>0</v>
      </c>
      <c r="F32" s="5">
        <v>9</v>
      </c>
      <c r="G32" s="5">
        <v>0</v>
      </c>
      <c r="H32" s="5">
        <v>0</v>
      </c>
      <c r="I32" s="6">
        <f t="shared" si="4"/>
        <v>22</v>
      </c>
    </row>
    <row r="33" spans="1:11" x14ac:dyDescent="0.25">
      <c r="A33" s="5" t="s">
        <v>13</v>
      </c>
      <c r="B33" s="5">
        <v>0</v>
      </c>
      <c r="C33" s="5">
        <v>2</v>
      </c>
      <c r="D33" s="5">
        <v>1</v>
      </c>
      <c r="E33" s="5">
        <v>2</v>
      </c>
      <c r="F33" s="5">
        <v>0</v>
      </c>
      <c r="G33" s="5">
        <v>0</v>
      </c>
      <c r="H33" s="5">
        <v>0</v>
      </c>
      <c r="I33" s="6">
        <f t="shared" si="4"/>
        <v>5</v>
      </c>
    </row>
    <row r="34" spans="1:11" x14ac:dyDescent="0.25">
      <c r="A34" s="5" t="s">
        <v>14</v>
      </c>
      <c r="B34" s="5">
        <v>0</v>
      </c>
      <c r="C34" s="5">
        <v>0</v>
      </c>
      <c r="D34" s="5">
        <v>1</v>
      </c>
      <c r="E34" s="5">
        <v>2</v>
      </c>
      <c r="F34" s="5">
        <v>2</v>
      </c>
      <c r="G34" s="5">
        <v>0</v>
      </c>
      <c r="H34" s="5">
        <v>0</v>
      </c>
      <c r="I34" s="6">
        <f t="shared" si="4"/>
        <v>5</v>
      </c>
    </row>
    <row r="35" spans="1:11" x14ac:dyDescent="0.25">
      <c r="A35" s="7" t="s">
        <v>15</v>
      </c>
      <c r="B35" s="7">
        <f t="shared" ref="B35:H35" si="5">SUM(B29:B34)</f>
        <v>135</v>
      </c>
      <c r="C35" s="7">
        <f t="shared" si="5"/>
        <v>141</v>
      </c>
      <c r="D35" s="7">
        <f t="shared" si="5"/>
        <v>167</v>
      </c>
      <c r="E35" s="7">
        <f t="shared" si="5"/>
        <v>120</v>
      </c>
      <c r="F35" s="7">
        <f t="shared" si="5"/>
        <v>158</v>
      </c>
      <c r="G35" s="7">
        <f t="shared" si="5"/>
        <v>64</v>
      </c>
      <c r="H35" s="7">
        <f t="shared" si="5"/>
        <v>0</v>
      </c>
      <c r="I35" s="6">
        <f t="shared" si="4"/>
        <v>785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45684</v>
      </c>
      <c r="C41" s="4">
        <v>45685</v>
      </c>
      <c r="D41" s="4">
        <v>45686</v>
      </c>
      <c r="E41" s="4">
        <v>45687</v>
      </c>
      <c r="F41" s="4">
        <v>45688</v>
      </c>
      <c r="G41" s="4">
        <v>45689</v>
      </c>
      <c r="H41" s="4">
        <v>45690</v>
      </c>
      <c r="I41" s="2" t="s">
        <v>8</v>
      </c>
    </row>
    <row r="42" spans="1:11" x14ac:dyDescent="0.25">
      <c r="A42" s="5" t="s">
        <v>9</v>
      </c>
      <c r="B42" s="5">
        <v>78</v>
      </c>
      <c r="C42" s="5">
        <v>79</v>
      </c>
      <c r="D42" s="5">
        <v>86</v>
      </c>
      <c r="E42" s="5">
        <v>67</v>
      </c>
      <c r="F42" s="5">
        <v>89</v>
      </c>
      <c r="G42" s="5">
        <v>42</v>
      </c>
      <c r="H42" s="5">
        <v>0</v>
      </c>
      <c r="I42" s="6">
        <f t="shared" ref="I42:I50" si="6">SUM(B42:H42)</f>
        <v>441</v>
      </c>
    </row>
    <row r="43" spans="1:11" x14ac:dyDescent="0.25">
      <c r="A43" s="5" t="s">
        <v>10</v>
      </c>
      <c r="B43" s="5">
        <v>52</v>
      </c>
      <c r="C43" s="5">
        <v>46</v>
      </c>
      <c r="D43" s="5">
        <v>51</v>
      </c>
      <c r="E43" s="5">
        <v>35</v>
      </c>
      <c r="F43" s="5">
        <v>56</v>
      </c>
      <c r="G43" s="5">
        <v>22</v>
      </c>
      <c r="H43" s="5">
        <v>0</v>
      </c>
      <c r="I43" s="6">
        <f t="shared" si="6"/>
        <v>262</v>
      </c>
    </row>
    <row r="44" spans="1:11" x14ac:dyDescent="0.25">
      <c r="A44" s="5" t="s">
        <v>11</v>
      </c>
      <c r="B44" s="5">
        <v>14</v>
      </c>
      <c r="C44" s="5">
        <v>5</v>
      </c>
      <c r="D44" s="5">
        <v>16</v>
      </c>
      <c r="E44" s="5">
        <v>1</v>
      </c>
      <c r="F44" s="5">
        <v>7</v>
      </c>
      <c r="G44" s="5">
        <v>0</v>
      </c>
      <c r="H44" s="5">
        <v>0</v>
      </c>
      <c r="I44" s="6">
        <f t="shared" si="6"/>
        <v>43</v>
      </c>
    </row>
    <row r="45" spans="1:11" x14ac:dyDescent="0.25">
      <c r="A45" s="5" t="s">
        <v>12</v>
      </c>
      <c r="B45" s="5">
        <v>4</v>
      </c>
      <c r="C45" s="5">
        <v>6</v>
      </c>
      <c r="D45" s="5">
        <v>6</v>
      </c>
      <c r="E45" s="5">
        <v>0</v>
      </c>
      <c r="F45" s="5">
        <v>7</v>
      </c>
      <c r="G45" s="5">
        <v>0</v>
      </c>
      <c r="H45" s="5">
        <v>0</v>
      </c>
      <c r="I45" s="6">
        <f t="shared" si="6"/>
        <v>23</v>
      </c>
    </row>
    <row r="46" spans="1:11" x14ac:dyDescent="0.25">
      <c r="A46" s="5" t="s">
        <v>13</v>
      </c>
      <c r="B46" s="5">
        <v>1</v>
      </c>
      <c r="C46" s="5">
        <v>2</v>
      </c>
      <c r="D46" s="5">
        <v>1</v>
      </c>
      <c r="E46" s="5">
        <v>1</v>
      </c>
      <c r="F46" s="5">
        <v>1</v>
      </c>
      <c r="G46" s="5">
        <v>0</v>
      </c>
      <c r="H46" s="5">
        <v>0</v>
      </c>
      <c r="I46" s="6">
        <f t="shared" si="6"/>
        <v>6</v>
      </c>
    </row>
    <row r="47" spans="1:11" x14ac:dyDescent="0.25">
      <c r="A47" s="5" t="s">
        <v>14</v>
      </c>
      <c r="B47" s="5">
        <v>2</v>
      </c>
      <c r="C47" s="5">
        <v>3</v>
      </c>
      <c r="D47" s="5">
        <v>2</v>
      </c>
      <c r="E47" s="5">
        <v>1</v>
      </c>
      <c r="F47" s="5">
        <v>1</v>
      </c>
      <c r="G47" s="5">
        <v>3</v>
      </c>
      <c r="H47" s="5">
        <v>0</v>
      </c>
      <c r="I47" s="6">
        <f t="shared" si="6"/>
        <v>12</v>
      </c>
    </row>
    <row r="48" spans="1:11" x14ac:dyDescent="0.25">
      <c r="A48" s="7" t="s">
        <v>15</v>
      </c>
      <c r="B48" s="7">
        <f>SUM(B42:B47)</f>
        <v>151</v>
      </c>
      <c r="C48" s="7">
        <f t="shared" ref="C48:H48" si="7">SUM(C42:C47)</f>
        <v>141</v>
      </c>
      <c r="D48" s="7">
        <f t="shared" si="7"/>
        <v>162</v>
      </c>
      <c r="E48" s="7">
        <f t="shared" si="7"/>
        <v>105</v>
      </c>
      <c r="F48" s="7">
        <f t="shared" si="7"/>
        <v>161</v>
      </c>
      <c r="G48" s="7">
        <f t="shared" si="7"/>
        <v>67</v>
      </c>
      <c r="H48" s="7">
        <f t="shared" si="7"/>
        <v>0</v>
      </c>
      <c r="I48" s="6">
        <f t="shared" si="6"/>
        <v>787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f t="shared" ref="I54:I62" si="8">SUM(B54:H54)</f>
        <v>0</v>
      </c>
    </row>
    <row r="55" spans="1:11" x14ac:dyDescent="0.25">
      <c r="A55" s="5" t="s">
        <v>10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f t="shared" si="8"/>
        <v>0</v>
      </c>
    </row>
    <row r="56" spans="1:1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f t="shared" si="8"/>
        <v>0</v>
      </c>
    </row>
    <row r="57" spans="1:11" x14ac:dyDescent="0.25">
      <c r="A57" s="5" t="s">
        <v>12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f t="shared" si="8"/>
        <v>0</v>
      </c>
    </row>
    <row r="58" spans="1:11" x14ac:dyDescent="0.25">
      <c r="A58" s="5" t="s">
        <v>13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6">
        <f>SUM(B58:H58)</f>
        <v>0</v>
      </c>
    </row>
    <row r="59" spans="1:11" x14ac:dyDescent="0.25">
      <c r="A59" s="5" t="s">
        <v>14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3160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25" right="0.25" top="0.75" bottom="0.75" header="0.3" footer="0.3"/>
  <pageSetup scale="76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5"/>
  <sheetViews>
    <sheetView workbookViewId="0">
      <selection activeCell="E31" sqref="E31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45663</v>
      </c>
      <c r="C2" s="4">
        <v>45664</v>
      </c>
      <c r="D2" s="4">
        <v>45665</v>
      </c>
      <c r="E2" s="4">
        <v>45666</v>
      </c>
      <c r="F2" s="4">
        <v>45667</v>
      </c>
      <c r="G2" s="4">
        <v>45668</v>
      </c>
      <c r="H2" s="3" t="s">
        <v>19</v>
      </c>
    </row>
    <row r="3" spans="1:8" x14ac:dyDescent="0.25">
      <c r="A3" s="5" t="s">
        <v>20</v>
      </c>
      <c r="B3">
        <v>19</v>
      </c>
      <c r="C3" s="5">
        <v>25</v>
      </c>
      <c r="D3" s="5">
        <v>20</v>
      </c>
      <c r="E3" s="5">
        <v>20</v>
      </c>
      <c r="F3" s="5">
        <v>18</v>
      </c>
      <c r="G3" s="5">
        <v>46</v>
      </c>
      <c r="H3" s="6">
        <f t="shared" ref="H3:H9" si="0">SUM(B3:G3)</f>
        <v>148</v>
      </c>
    </row>
    <row r="4" spans="1:8" x14ac:dyDescent="0.25">
      <c r="A4" s="5" t="s">
        <v>21</v>
      </c>
      <c r="B4" s="5">
        <v>27</v>
      </c>
      <c r="C4" s="5">
        <v>21</v>
      </c>
      <c r="D4" s="5">
        <v>30</v>
      </c>
      <c r="E4" s="5">
        <v>25</v>
      </c>
      <c r="F4" s="5">
        <v>26</v>
      </c>
      <c r="G4" s="5">
        <v>0</v>
      </c>
      <c r="H4" s="6">
        <f t="shared" si="0"/>
        <v>129</v>
      </c>
    </row>
    <row r="5" spans="1:8" x14ac:dyDescent="0.25">
      <c r="A5" s="5" t="s">
        <v>22</v>
      </c>
      <c r="B5" s="5">
        <v>0</v>
      </c>
      <c r="C5" s="5">
        <v>0</v>
      </c>
      <c r="D5" s="5">
        <v>8</v>
      </c>
      <c r="E5" s="5">
        <v>0</v>
      </c>
      <c r="F5" s="5">
        <v>0</v>
      </c>
      <c r="G5" s="5">
        <v>0</v>
      </c>
      <c r="H5" s="6">
        <f t="shared" si="0"/>
        <v>8</v>
      </c>
    </row>
    <row r="6" spans="1:8" x14ac:dyDescent="0.25">
      <c r="A6" s="5" t="s">
        <v>23</v>
      </c>
      <c r="B6" s="5">
        <v>33</v>
      </c>
      <c r="C6" s="5">
        <v>37</v>
      </c>
      <c r="D6" s="5">
        <v>34</v>
      </c>
      <c r="E6" s="5">
        <v>32</v>
      </c>
      <c r="F6" s="5">
        <v>45</v>
      </c>
      <c r="G6" s="5">
        <v>0</v>
      </c>
      <c r="H6" s="6">
        <f t="shared" si="0"/>
        <v>181</v>
      </c>
    </row>
    <row r="7" spans="1:8" x14ac:dyDescent="0.25">
      <c r="A7" s="7" t="s">
        <v>15</v>
      </c>
      <c r="B7" s="7">
        <f>SUM(B3:B6)</f>
        <v>79</v>
      </c>
      <c r="C7" s="7">
        <f t="shared" ref="C7:G7" si="1">SUM(C3:C6)</f>
        <v>83</v>
      </c>
      <c r="D7" s="7">
        <f t="shared" si="1"/>
        <v>92</v>
      </c>
      <c r="E7" s="7">
        <f t="shared" si="1"/>
        <v>77</v>
      </c>
      <c r="F7" s="7">
        <f t="shared" si="1"/>
        <v>89</v>
      </c>
      <c r="G7" s="7">
        <f t="shared" si="1"/>
        <v>46</v>
      </c>
      <c r="H7" s="6">
        <f>SUM(B7:G7)</f>
        <v>466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45670</v>
      </c>
      <c r="C11" s="4">
        <v>45671</v>
      </c>
      <c r="D11" s="4">
        <v>45672</v>
      </c>
      <c r="E11" s="4">
        <v>45673</v>
      </c>
      <c r="F11" s="4">
        <v>45674</v>
      </c>
      <c r="G11" s="4">
        <v>45675</v>
      </c>
      <c r="H11" s="3" t="s">
        <v>19</v>
      </c>
    </row>
    <row r="12" spans="1:8" x14ac:dyDescent="0.25">
      <c r="A12" s="5" t="s">
        <v>20</v>
      </c>
      <c r="B12" s="5">
        <v>23</v>
      </c>
      <c r="C12" s="5">
        <v>21</v>
      </c>
      <c r="D12" s="5">
        <v>20</v>
      </c>
      <c r="E12" s="5">
        <v>20</v>
      </c>
      <c r="F12" s="5">
        <v>26</v>
      </c>
      <c r="G12" s="5">
        <v>0</v>
      </c>
      <c r="H12" s="6">
        <f t="shared" ref="H12:H18" si="2">SUM(B12:G12)</f>
        <v>110</v>
      </c>
    </row>
    <row r="13" spans="1:8" x14ac:dyDescent="0.25">
      <c r="A13" s="5" t="s">
        <v>21</v>
      </c>
      <c r="B13" s="5">
        <v>28</v>
      </c>
      <c r="C13" s="5">
        <v>29</v>
      </c>
      <c r="D13" s="5">
        <v>26</v>
      </c>
      <c r="E13" s="5">
        <v>25</v>
      </c>
      <c r="F13" s="5">
        <v>28</v>
      </c>
      <c r="G13" s="5">
        <v>40</v>
      </c>
      <c r="H13" s="6">
        <f t="shared" si="2"/>
        <v>176</v>
      </c>
    </row>
    <row r="14" spans="1:8" x14ac:dyDescent="0.25">
      <c r="A14" s="5" t="s">
        <v>26</v>
      </c>
      <c r="B14" s="5">
        <v>0</v>
      </c>
      <c r="C14" s="5">
        <v>0</v>
      </c>
      <c r="D14" s="5">
        <v>9</v>
      </c>
      <c r="E14" s="5">
        <v>0</v>
      </c>
      <c r="F14" s="5">
        <v>0</v>
      </c>
      <c r="G14" s="5">
        <v>0</v>
      </c>
      <c r="H14" s="6">
        <f t="shared" si="2"/>
        <v>9</v>
      </c>
    </row>
    <row r="15" spans="1:8" x14ac:dyDescent="0.25">
      <c r="A15" s="5" t="s">
        <v>23</v>
      </c>
      <c r="B15" s="5">
        <v>31</v>
      </c>
      <c r="C15" s="5">
        <v>36</v>
      </c>
      <c r="D15" s="5">
        <v>35</v>
      </c>
      <c r="E15" s="5">
        <v>32</v>
      </c>
      <c r="F15" s="5">
        <v>45</v>
      </c>
      <c r="G15" s="5">
        <v>0</v>
      </c>
      <c r="H15" s="6">
        <f t="shared" si="2"/>
        <v>179</v>
      </c>
    </row>
    <row r="16" spans="1:8" x14ac:dyDescent="0.25">
      <c r="A16" s="7" t="s">
        <v>15</v>
      </c>
      <c r="B16" s="7">
        <f t="shared" ref="B16:G16" si="3">SUM(B12:B15)</f>
        <v>82</v>
      </c>
      <c r="C16" s="7">
        <f t="shared" si="3"/>
        <v>86</v>
      </c>
      <c r="D16" s="7">
        <f t="shared" si="3"/>
        <v>90</v>
      </c>
      <c r="E16" s="7">
        <f>SUM(E12:E15)</f>
        <v>77</v>
      </c>
      <c r="F16" s="7">
        <f t="shared" si="3"/>
        <v>99</v>
      </c>
      <c r="G16" s="7">
        <f t="shared" si="3"/>
        <v>40</v>
      </c>
      <c r="H16" s="6">
        <f t="shared" si="2"/>
        <v>474</v>
      </c>
    </row>
    <row r="17" spans="1:8" x14ac:dyDescent="0.25">
      <c r="A17" s="5" t="s">
        <v>27</v>
      </c>
      <c r="B17" s="5"/>
      <c r="C17" s="5"/>
      <c r="D17" s="5">
        <v>7</v>
      </c>
      <c r="E17" s="5"/>
      <c r="F17" s="5"/>
      <c r="G17" s="8"/>
      <c r="H17" s="6">
        <f t="shared" si="2"/>
        <v>7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45677</v>
      </c>
      <c r="C20" s="4">
        <v>45678</v>
      </c>
      <c r="D20" s="4">
        <v>45679</v>
      </c>
      <c r="E20" s="4">
        <v>45680</v>
      </c>
      <c r="F20" s="4">
        <v>45681</v>
      </c>
      <c r="G20" s="4">
        <v>45682</v>
      </c>
      <c r="H20" s="3" t="s">
        <v>19</v>
      </c>
    </row>
    <row r="21" spans="1:8" x14ac:dyDescent="0.25">
      <c r="A21" s="5" t="s">
        <v>20</v>
      </c>
      <c r="B21" s="5">
        <v>23</v>
      </c>
      <c r="C21" s="5">
        <v>15</v>
      </c>
      <c r="D21" s="5">
        <v>17</v>
      </c>
      <c r="E21" s="5">
        <v>20</v>
      </c>
      <c r="F21" s="5">
        <v>20</v>
      </c>
      <c r="G21" s="5">
        <v>44</v>
      </c>
      <c r="H21" s="6">
        <f>SUM(B21:G21)</f>
        <v>139</v>
      </c>
    </row>
    <row r="22" spans="1:8" x14ac:dyDescent="0.25">
      <c r="A22" s="5" t="s">
        <v>21</v>
      </c>
      <c r="B22" s="5">
        <v>32</v>
      </c>
      <c r="C22" s="5">
        <v>19</v>
      </c>
      <c r="D22" s="5">
        <v>30</v>
      </c>
      <c r="E22" s="5">
        <v>20</v>
      </c>
      <c r="F22" s="5">
        <v>24</v>
      </c>
      <c r="G22" s="5">
        <v>0</v>
      </c>
      <c r="H22" s="6">
        <f t="shared" ref="H22:H27" si="4">SUM(B22:G22)</f>
        <v>125</v>
      </c>
    </row>
    <row r="23" spans="1:8" x14ac:dyDescent="0.25">
      <c r="A23" s="5" t="s">
        <v>28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31</v>
      </c>
      <c r="C24" s="5">
        <v>42</v>
      </c>
      <c r="D24" s="5">
        <v>40</v>
      </c>
      <c r="E24" s="5">
        <v>38</v>
      </c>
      <c r="F24" s="5">
        <v>40</v>
      </c>
      <c r="G24" s="5">
        <v>0</v>
      </c>
      <c r="H24" s="6">
        <f t="shared" si="4"/>
        <v>191</v>
      </c>
    </row>
    <row r="25" spans="1:8" x14ac:dyDescent="0.25">
      <c r="A25" s="7" t="s">
        <v>15</v>
      </c>
      <c r="B25" s="7">
        <f t="shared" ref="B25:G25" si="5">SUM(B21:B24)</f>
        <v>86</v>
      </c>
      <c r="C25" s="7">
        <f t="shared" si="5"/>
        <v>76</v>
      </c>
      <c r="D25" s="7">
        <f t="shared" si="5"/>
        <v>87</v>
      </c>
      <c r="E25" s="7">
        <f>SUM(E21:E24)</f>
        <v>78</v>
      </c>
      <c r="F25" s="7">
        <f t="shared" si="5"/>
        <v>84</v>
      </c>
      <c r="G25" s="7">
        <f t="shared" si="5"/>
        <v>44</v>
      </c>
      <c r="H25" s="6">
        <f t="shared" si="4"/>
        <v>455</v>
      </c>
    </row>
    <row r="26" spans="1:8" x14ac:dyDescent="0.25">
      <c r="A26" s="5" t="s">
        <v>24</v>
      </c>
      <c r="B26" s="5"/>
      <c r="C26" s="5"/>
      <c r="D26" s="5"/>
      <c r="E26" s="5"/>
      <c r="F26" s="5"/>
      <c r="G26" s="5"/>
      <c r="H26" s="6">
        <f t="shared" si="4"/>
        <v>0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45684</v>
      </c>
      <c r="C29" s="4">
        <v>45685</v>
      </c>
      <c r="D29" s="4">
        <v>45686</v>
      </c>
      <c r="E29" s="4">
        <v>45687</v>
      </c>
      <c r="F29" s="4">
        <v>45688</v>
      </c>
      <c r="G29" s="4">
        <v>45689</v>
      </c>
      <c r="H29" s="3" t="s">
        <v>19</v>
      </c>
    </row>
    <row r="30" spans="1:8" x14ac:dyDescent="0.25">
      <c r="A30" s="5" t="s">
        <v>20</v>
      </c>
      <c r="B30" s="5">
        <v>17</v>
      </c>
      <c r="C30" s="5">
        <v>16</v>
      </c>
      <c r="D30" s="5">
        <v>21</v>
      </c>
      <c r="E30" s="5">
        <v>15</v>
      </c>
      <c r="F30" s="5">
        <v>20</v>
      </c>
      <c r="G30" s="5">
        <v>0</v>
      </c>
      <c r="H30" s="6">
        <f>SUM(B30:G30)</f>
        <v>89</v>
      </c>
    </row>
    <row r="31" spans="1:8" x14ac:dyDescent="0.25">
      <c r="A31" s="5" t="s">
        <v>21</v>
      </c>
      <c r="B31" s="5">
        <v>25</v>
      </c>
      <c r="C31" s="5">
        <v>23</v>
      </c>
      <c r="D31" s="5">
        <v>24</v>
      </c>
      <c r="E31" s="5">
        <v>20</v>
      </c>
      <c r="F31" s="5">
        <v>25</v>
      </c>
      <c r="G31" s="5">
        <v>42</v>
      </c>
      <c r="H31" s="6">
        <f>SUM(B31:G31)</f>
        <v>159</v>
      </c>
    </row>
    <row r="32" spans="1:8" x14ac:dyDescent="0.25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ref="H32:H36" si="6">SUM(B32:G32)</f>
        <v>0</v>
      </c>
    </row>
    <row r="33" spans="1:10" x14ac:dyDescent="0.25">
      <c r="A33" s="5" t="s">
        <v>23</v>
      </c>
      <c r="B33" s="5">
        <v>36</v>
      </c>
      <c r="C33" s="5">
        <v>40</v>
      </c>
      <c r="D33" s="5">
        <v>41</v>
      </c>
      <c r="E33" s="5">
        <v>32</v>
      </c>
      <c r="F33" s="5">
        <v>44</v>
      </c>
      <c r="G33" s="5">
        <v>0</v>
      </c>
      <c r="H33" s="6">
        <f t="shared" si="6"/>
        <v>193</v>
      </c>
    </row>
    <row r="34" spans="1:10" x14ac:dyDescent="0.25">
      <c r="A34" s="7" t="s">
        <v>15</v>
      </c>
      <c r="B34" s="7">
        <f t="shared" ref="B34:G34" si="7">SUM(B30:B33)</f>
        <v>78</v>
      </c>
      <c r="C34" s="7">
        <f t="shared" si="7"/>
        <v>79</v>
      </c>
      <c r="D34" s="7">
        <f t="shared" si="7"/>
        <v>86</v>
      </c>
      <c r="E34" s="7">
        <f t="shared" si="7"/>
        <v>67</v>
      </c>
      <c r="F34" s="7">
        <f t="shared" si="7"/>
        <v>89</v>
      </c>
      <c r="G34" s="7">
        <f t="shared" si="7"/>
        <v>42</v>
      </c>
      <c r="H34" s="6">
        <f t="shared" si="6"/>
        <v>441</v>
      </c>
    </row>
    <row r="35" spans="1:10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10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10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10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10" x14ac:dyDescent="0.25">
      <c r="A39" s="5" t="s">
        <v>20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6">
        <f t="shared" ref="H39:H45" si="8">SUM(B39:G39)</f>
        <v>0</v>
      </c>
    </row>
    <row r="40" spans="1:10" x14ac:dyDescent="0.25">
      <c r="A40" s="5" t="s">
        <v>21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6">
        <f t="shared" si="8"/>
        <v>0</v>
      </c>
    </row>
    <row r="41" spans="1:10" x14ac:dyDescent="0.25">
      <c r="A41" s="5" t="s">
        <v>28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6">
        <f t="shared" si="8"/>
        <v>0</v>
      </c>
    </row>
    <row r="42" spans="1:10" x14ac:dyDescent="0.25">
      <c r="A42" s="5" t="s">
        <v>23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6">
        <f t="shared" si="8"/>
        <v>0</v>
      </c>
    </row>
    <row r="43" spans="1:10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10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  <c r="J44">
        <f>H7+H16+H25+H34+H43</f>
        <v>1836</v>
      </c>
    </row>
    <row r="45" spans="1:10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fitToWidth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K62"/>
  <sheetViews>
    <sheetView topLeftCell="A34" workbookViewId="0">
      <selection activeCell="N40" sqref="N40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45691</v>
      </c>
      <c r="C2" s="4">
        <v>45692</v>
      </c>
      <c r="D2" s="4">
        <v>45693</v>
      </c>
      <c r="E2" s="4">
        <v>45694</v>
      </c>
      <c r="F2" s="4">
        <v>45695</v>
      </c>
      <c r="G2" s="4">
        <v>45696</v>
      </c>
      <c r="H2" s="4">
        <v>45697</v>
      </c>
      <c r="I2" s="2" t="s">
        <v>8</v>
      </c>
    </row>
    <row r="3" spans="1:11" x14ac:dyDescent="0.25">
      <c r="A3" s="5" t="s">
        <v>9</v>
      </c>
      <c r="B3" s="5">
        <v>80</v>
      </c>
      <c r="C3" s="5">
        <v>89</v>
      </c>
      <c r="D3" s="5">
        <v>93</v>
      </c>
      <c r="E3" s="5">
        <v>79</v>
      </c>
      <c r="F3" s="5">
        <v>95</v>
      </c>
      <c r="G3" s="5">
        <v>40</v>
      </c>
      <c r="H3" s="5">
        <v>0</v>
      </c>
      <c r="I3" s="6">
        <f t="shared" ref="I3:I11" si="0">SUM(B3:H3)</f>
        <v>476</v>
      </c>
    </row>
    <row r="4" spans="1:11" x14ac:dyDescent="0.25">
      <c r="A4" s="5" t="s">
        <v>10</v>
      </c>
      <c r="B4" s="5">
        <v>51</v>
      </c>
      <c r="C4" s="5">
        <v>49</v>
      </c>
      <c r="D4" s="5">
        <v>54</v>
      </c>
      <c r="E4" s="5">
        <v>33</v>
      </c>
      <c r="F4" s="5">
        <v>46</v>
      </c>
      <c r="G4" s="5">
        <v>26</v>
      </c>
      <c r="H4" s="5">
        <v>0</v>
      </c>
      <c r="I4" s="6">
        <f t="shared" si="0"/>
        <v>259</v>
      </c>
    </row>
    <row r="5" spans="1:11" x14ac:dyDescent="0.25">
      <c r="A5" s="5" t="s">
        <v>11</v>
      </c>
      <c r="B5" s="5">
        <v>8</v>
      </c>
      <c r="C5" s="5">
        <v>8</v>
      </c>
      <c r="D5" s="5">
        <v>12</v>
      </c>
      <c r="E5" s="5">
        <v>0</v>
      </c>
      <c r="F5" s="5">
        <v>8</v>
      </c>
      <c r="G5" s="5">
        <v>0</v>
      </c>
      <c r="H5" s="5">
        <v>0</v>
      </c>
      <c r="I5" s="6">
        <f t="shared" si="0"/>
        <v>36</v>
      </c>
    </row>
    <row r="6" spans="1:11" x14ac:dyDescent="0.25">
      <c r="A6" s="5" t="s">
        <v>12</v>
      </c>
      <c r="B6" s="5">
        <v>3</v>
      </c>
      <c r="C6" s="5">
        <v>0</v>
      </c>
      <c r="D6" s="5">
        <v>2</v>
      </c>
      <c r="E6" s="5">
        <v>0</v>
      </c>
      <c r="F6" s="5">
        <v>6</v>
      </c>
      <c r="G6" s="5">
        <v>0</v>
      </c>
      <c r="H6" s="5">
        <v>0</v>
      </c>
      <c r="I6" s="6">
        <f t="shared" si="0"/>
        <v>11</v>
      </c>
    </row>
    <row r="7" spans="1:11" x14ac:dyDescent="0.25">
      <c r="A7" s="5" t="s">
        <v>13</v>
      </c>
      <c r="B7" s="5">
        <v>1</v>
      </c>
      <c r="C7" s="5">
        <v>2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6">
        <f t="shared" si="0"/>
        <v>4</v>
      </c>
    </row>
    <row r="8" spans="1:11" x14ac:dyDescent="0.25">
      <c r="A8" s="5" t="s">
        <v>14</v>
      </c>
      <c r="B8" s="5">
        <v>2</v>
      </c>
      <c r="C8" s="5">
        <v>0</v>
      </c>
      <c r="D8" s="5">
        <v>0</v>
      </c>
      <c r="E8" s="5">
        <v>1</v>
      </c>
      <c r="F8" s="5">
        <v>0</v>
      </c>
      <c r="G8" s="5">
        <v>0</v>
      </c>
      <c r="H8" s="5">
        <v>0</v>
      </c>
      <c r="I8" s="6">
        <f t="shared" si="0"/>
        <v>3</v>
      </c>
    </row>
    <row r="9" spans="1:11" x14ac:dyDescent="0.25">
      <c r="A9" s="7" t="s">
        <v>15</v>
      </c>
      <c r="B9" s="7">
        <f t="shared" ref="B9:H9" si="1">SUM(B3:B8)</f>
        <v>145</v>
      </c>
      <c r="C9" s="7">
        <f t="shared" si="1"/>
        <v>148</v>
      </c>
      <c r="D9" s="7">
        <f t="shared" si="1"/>
        <v>161</v>
      </c>
      <c r="E9" s="7">
        <f t="shared" si="1"/>
        <v>114</v>
      </c>
      <c r="F9" s="7">
        <f t="shared" si="1"/>
        <v>155</v>
      </c>
      <c r="G9" s="7">
        <f t="shared" si="1"/>
        <v>66</v>
      </c>
      <c r="H9" s="7">
        <f t="shared" si="1"/>
        <v>0</v>
      </c>
      <c r="I9" s="6">
        <f t="shared" si="0"/>
        <v>789</v>
      </c>
      <c r="J9" s="1"/>
      <c r="K9" s="1"/>
    </row>
    <row r="10" spans="1:11" x14ac:dyDescent="0.25">
      <c r="A10" s="5" t="s">
        <v>29</v>
      </c>
      <c r="B10" s="5">
        <v>0</v>
      </c>
      <c r="C10" s="5">
        <v>0</v>
      </c>
      <c r="D10" s="5">
        <v>4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4</v>
      </c>
    </row>
    <row r="11" spans="1:11" x14ac:dyDescent="0.25">
      <c r="A11" s="5" t="s">
        <v>30</v>
      </c>
      <c r="B11" s="5">
        <v>0</v>
      </c>
      <c r="C11" s="5">
        <v>0</v>
      </c>
      <c r="D11" s="5">
        <v>0</v>
      </c>
      <c r="E11" s="5">
        <v>6</v>
      </c>
      <c r="F11" s="5">
        <v>0</v>
      </c>
      <c r="G11" s="5">
        <v>0</v>
      </c>
      <c r="H11" s="5">
        <v>0</v>
      </c>
      <c r="I11" s="6">
        <f t="shared" si="0"/>
        <v>6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45698</v>
      </c>
      <c r="C15" s="4">
        <v>45699</v>
      </c>
      <c r="D15" s="4">
        <v>45700</v>
      </c>
      <c r="E15" s="4">
        <v>45701</v>
      </c>
      <c r="F15" s="4">
        <v>45702</v>
      </c>
      <c r="G15" s="4">
        <v>45703</v>
      </c>
      <c r="H15" s="4">
        <v>45704</v>
      </c>
      <c r="I15" s="2" t="s">
        <v>8</v>
      </c>
    </row>
    <row r="16" spans="1:11" x14ac:dyDescent="0.25">
      <c r="A16" s="5" t="s">
        <v>9</v>
      </c>
      <c r="B16" s="5">
        <v>76</v>
      </c>
      <c r="C16" s="5">
        <v>84</v>
      </c>
      <c r="D16" s="5">
        <v>92</v>
      </c>
      <c r="E16" s="5">
        <v>85</v>
      </c>
      <c r="F16" s="5">
        <v>79</v>
      </c>
      <c r="G16" s="5">
        <v>38</v>
      </c>
      <c r="H16" s="5">
        <v>0</v>
      </c>
      <c r="I16" s="6">
        <f>SUM(B16:H16)</f>
        <v>454</v>
      </c>
    </row>
    <row r="17" spans="1:11" x14ac:dyDescent="0.25">
      <c r="A17" s="5" t="s">
        <v>10</v>
      </c>
      <c r="B17" s="5">
        <v>38</v>
      </c>
      <c r="C17" s="5">
        <v>43</v>
      </c>
      <c r="D17" s="5">
        <v>57</v>
      </c>
      <c r="E17" s="5">
        <v>38</v>
      </c>
      <c r="F17" s="5">
        <v>44</v>
      </c>
      <c r="G17" s="5">
        <v>12</v>
      </c>
      <c r="H17" s="5">
        <v>0</v>
      </c>
      <c r="I17" s="6">
        <f t="shared" ref="I17:I21" si="2">SUM(B17:H17)</f>
        <v>232</v>
      </c>
    </row>
    <row r="18" spans="1:11" x14ac:dyDescent="0.25">
      <c r="A18" s="5" t="s">
        <v>11</v>
      </c>
      <c r="B18" s="5">
        <v>10</v>
      </c>
      <c r="C18" s="5">
        <v>6</v>
      </c>
      <c r="D18" s="5">
        <v>10</v>
      </c>
      <c r="E18" s="5">
        <v>1</v>
      </c>
      <c r="F18" s="5">
        <v>7</v>
      </c>
      <c r="G18" s="5">
        <v>0</v>
      </c>
      <c r="H18" s="5">
        <v>0</v>
      </c>
      <c r="I18" s="6">
        <f t="shared" si="2"/>
        <v>34</v>
      </c>
    </row>
    <row r="19" spans="1:11" x14ac:dyDescent="0.25">
      <c r="A19" s="5" t="s">
        <v>12</v>
      </c>
      <c r="B19" s="5">
        <v>3</v>
      </c>
      <c r="C19" s="5">
        <v>6</v>
      </c>
      <c r="D19" s="5">
        <v>4</v>
      </c>
      <c r="E19" s="5">
        <v>0</v>
      </c>
      <c r="F19" s="5">
        <v>7</v>
      </c>
      <c r="G19" s="5">
        <v>0</v>
      </c>
      <c r="H19" s="5">
        <v>0</v>
      </c>
      <c r="I19" s="6">
        <f t="shared" si="2"/>
        <v>20</v>
      </c>
    </row>
    <row r="20" spans="1:11" x14ac:dyDescent="0.25">
      <c r="A20" s="5" t="s">
        <v>13</v>
      </c>
      <c r="B20" s="5">
        <v>0</v>
      </c>
      <c r="C20" s="5">
        <v>1</v>
      </c>
      <c r="D20" s="5">
        <v>1</v>
      </c>
      <c r="E20" s="5">
        <v>0</v>
      </c>
      <c r="F20" s="5">
        <v>3</v>
      </c>
      <c r="G20" s="5">
        <v>1</v>
      </c>
      <c r="H20" s="5">
        <v>0</v>
      </c>
      <c r="I20" s="6">
        <f t="shared" si="2"/>
        <v>6</v>
      </c>
    </row>
    <row r="21" spans="1:11" x14ac:dyDescent="0.25">
      <c r="A21" s="5" t="s">
        <v>14</v>
      </c>
      <c r="B21" s="5">
        <v>0</v>
      </c>
      <c r="C21" s="5">
        <v>1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6">
        <f t="shared" si="2"/>
        <v>4</v>
      </c>
    </row>
    <row r="22" spans="1:11" x14ac:dyDescent="0.25">
      <c r="A22" s="7" t="s">
        <v>15</v>
      </c>
      <c r="B22" s="7">
        <f t="shared" ref="B22:G22" si="3">SUM(B16:B21)</f>
        <v>127</v>
      </c>
      <c r="C22" s="7">
        <f t="shared" si="3"/>
        <v>141</v>
      </c>
      <c r="D22" s="7">
        <f t="shared" si="3"/>
        <v>166</v>
      </c>
      <c r="E22" s="7">
        <f t="shared" si="3"/>
        <v>125</v>
      </c>
      <c r="F22" s="7">
        <f t="shared" si="3"/>
        <v>140</v>
      </c>
      <c r="G22" s="7">
        <f t="shared" si="3"/>
        <v>51</v>
      </c>
      <c r="H22" s="7">
        <f>SUM(H16:H21)</f>
        <v>0</v>
      </c>
      <c r="I22" s="6">
        <f>SUM(B22:H22)</f>
        <v>750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45705</v>
      </c>
      <c r="C28" s="4">
        <v>45706</v>
      </c>
      <c r="D28" s="4">
        <v>45707</v>
      </c>
      <c r="E28" s="4">
        <v>45708</v>
      </c>
      <c r="F28" s="4">
        <v>45709</v>
      </c>
      <c r="G28" s="4">
        <v>45710</v>
      </c>
      <c r="H28" s="4">
        <v>45711</v>
      </c>
      <c r="I28" s="2" t="s">
        <v>8</v>
      </c>
    </row>
    <row r="29" spans="1:11" x14ac:dyDescent="0.25">
      <c r="A29" s="5" t="s">
        <v>9</v>
      </c>
      <c r="B29" s="5">
        <v>79</v>
      </c>
      <c r="C29" s="5">
        <v>91</v>
      </c>
      <c r="D29" s="5">
        <v>101</v>
      </c>
      <c r="E29" s="5">
        <v>79</v>
      </c>
      <c r="F29" s="5">
        <v>82</v>
      </c>
      <c r="G29" s="5">
        <v>41</v>
      </c>
      <c r="H29" s="5">
        <v>0</v>
      </c>
      <c r="I29" s="6">
        <f t="shared" ref="I29:I37" si="4">SUM(B29:H29)</f>
        <v>473</v>
      </c>
    </row>
    <row r="30" spans="1:11" x14ac:dyDescent="0.25">
      <c r="A30" s="5" t="s">
        <v>10</v>
      </c>
      <c r="B30" s="5">
        <v>68</v>
      </c>
      <c r="C30" s="5">
        <v>47</v>
      </c>
      <c r="D30" s="5">
        <v>65</v>
      </c>
      <c r="E30" s="5">
        <v>22</v>
      </c>
      <c r="F30" s="5">
        <v>46</v>
      </c>
      <c r="G30" s="5">
        <v>15</v>
      </c>
      <c r="H30" s="5">
        <v>0</v>
      </c>
      <c r="I30" s="6">
        <f t="shared" si="4"/>
        <v>263</v>
      </c>
    </row>
    <row r="31" spans="1:11" x14ac:dyDescent="0.25">
      <c r="A31" s="5" t="s">
        <v>11</v>
      </c>
      <c r="B31" s="5">
        <v>9</v>
      </c>
      <c r="C31" s="5">
        <v>9</v>
      </c>
      <c r="D31" s="5">
        <v>10</v>
      </c>
      <c r="E31" s="5">
        <v>0</v>
      </c>
      <c r="F31" s="5">
        <v>1</v>
      </c>
      <c r="G31" s="5"/>
      <c r="H31" s="5">
        <v>0</v>
      </c>
      <c r="I31" s="6">
        <f t="shared" si="4"/>
        <v>29</v>
      </c>
    </row>
    <row r="32" spans="1:11" x14ac:dyDescent="0.25">
      <c r="A32" s="5" t="s">
        <v>12</v>
      </c>
      <c r="B32" s="5">
        <v>3</v>
      </c>
      <c r="C32" s="5">
        <v>4</v>
      </c>
      <c r="D32" s="5">
        <v>7</v>
      </c>
      <c r="E32" s="5">
        <v>0</v>
      </c>
      <c r="F32" s="5">
        <v>5</v>
      </c>
      <c r="G32" s="5">
        <v>0</v>
      </c>
      <c r="H32" s="5">
        <v>0</v>
      </c>
      <c r="I32" s="6">
        <f t="shared" si="4"/>
        <v>19</v>
      </c>
    </row>
    <row r="33" spans="1:11" x14ac:dyDescent="0.25">
      <c r="A33" s="5" t="s">
        <v>13</v>
      </c>
      <c r="B33" s="5">
        <v>1</v>
      </c>
      <c r="C33" s="5">
        <v>3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6">
        <f t="shared" si="4"/>
        <v>8</v>
      </c>
    </row>
    <row r="34" spans="1:11" x14ac:dyDescent="0.25">
      <c r="A34" s="5" t="s">
        <v>14</v>
      </c>
      <c r="B34" s="5">
        <v>2</v>
      </c>
      <c r="C34" s="5">
        <v>0</v>
      </c>
      <c r="D34" s="5">
        <v>3</v>
      </c>
      <c r="E34" s="5">
        <v>0</v>
      </c>
      <c r="F34" s="5">
        <v>1</v>
      </c>
      <c r="G34" s="5">
        <v>0</v>
      </c>
      <c r="H34" s="5">
        <v>0</v>
      </c>
      <c r="I34" s="6">
        <f t="shared" si="4"/>
        <v>6</v>
      </c>
    </row>
    <row r="35" spans="1:11" x14ac:dyDescent="0.25">
      <c r="A35" s="7" t="s">
        <v>15</v>
      </c>
      <c r="B35" s="7">
        <f t="shared" ref="B35:H35" si="5">SUM(B29:B34)</f>
        <v>162</v>
      </c>
      <c r="C35" s="7">
        <f t="shared" si="5"/>
        <v>154</v>
      </c>
      <c r="D35" s="7">
        <f t="shared" si="5"/>
        <v>188</v>
      </c>
      <c r="E35" s="7">
        <f t="shared" si="5"/>
        <v>101</v>
      </c>
      <c r="F35" s="7">
        <f t="shared" si="5"/>
        <v>137</v>
      </c>
      <c r="G35" s="7">
        <f t="shared" si="5"/>
        <v>56</v>
      </c>
      <c r="H35" s="7">
        <f t="shared" si="5"/>
        <v>0</v>
      </c>
      <c r="I35" s="6">
        <f t="shared" si="4"/>
        <v>798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45712</v>
      </c>
      <c r="C41" s="4">
        <v>45713</v>
      </c>
      <c r="D41" s="4">
        <v>45714</v>
      </c>
      <c r="E41" s="4">
        <v>45715</v>
      </c>
      <c r="F41" s="4">
        <v>45716</v>
      </c>
      <c r="G41" s="4">
        <v>45717</v>
      </c>
      <c r="H41" s="4">
        <v>45718</v>
      </c>
      <c r="I41" s="2" t="s">
        <v>8</v>
      </c>
    </row>
    <row r="42" spans="1:11" x14ac:dyDescent="0.25">
      <c r="A42" s="5" t="s">
        <v>9</v>
      </c>
      <c r="B42" s="5">
        <v>89</v>
      </c>
      <c r="C42" s="5">
        <v>87</v>
      </c>
      <c r="D42" s="5">
        <v>89</v>
      </c>
      <c r="E42" s="5">
        <v>87</v>
      </c>
      <c r="F42" s="5">
        <v>91</v>
      </c>
      <c r="G42" s="5">
        <v>40</v>
      </c>
      <c r="H42" s="5">
        <v>0</v>
      </c>
      <c r="I42" s="6">
        <f t="shared" ref="I42:I50" si="6">SUM(B42:H42)</f>
        <v>483</v>
      </c>
    </row>
    <row r="43" spans="1:11" x14ac:dyDescent="0.25">
      <c r="A43" s="5" t="s">
        <v>10</v>
      </c>
      <c r="B43" s="5">
        <v>57</v>
      </c>
      <c r="C43" s="5">
        <v>42</v>
      </c>
      <c r="D43" s="5">
        <v>63</v>
      </c>
      <c r="E43" s="5">
        <v>36</v>
      </c>
      <c r="F43" s="5">
        <v>50</v>
      </c>
      <c r="G43" s="5">
        <v>23</v>
      </c>
      <c r="H43" s="5">
        <v>0</v>
      </c>
      <c r="I43" s="6">
        <f t="shared" si="6"/>
        <v>271</v>
      </c>
    </row>
    <row r="44" spans="1:11" x14ac:dyDescent="0.25">
      <c r="A44" s="5" t="s">
        <v>11</v>
      </c>
      <c r="B44" s="5">
        <v>16</v>
      </c>
      <c r="C44" s="5">
        <v>6</v>
      </c>
      <c r="D44" s="5">
        <v>10</v>
      </c>
      <c r="E44" s="5">
        <v>0</v>
      </c>
      <c r="F44" s="5">
        <v>14</v>
      </c>
      <c r="G44" s="5">
        <v>0</v>
      </c>
      <c r="H44" s="5">
        <v>0</v>
      </c>
      <c r="I44" s="6">
        <f t="shared" si="6"/>
        <v>46</v>
      </c>
    </row>
    <row r="45" spans="1:11" x14ac:dyDescent="0.25">
      <c r="A45" s="5" t="s">
        <v>12</v>
      </c>
      <c r="B45" s="5">
        <v>4</v>
      </c>
      <c r="C45" s="5">
        <v>5</v>
      </c>
      <c r="D45" s="5">
        <v>6</v>
      </c>
      <c r="E45" s="5">
        <v>0</v>
      </c>
      <c r="F45" s="5">
        <v>6</v>
      </c>
      <c r="G45" s="5">
        <v>0</v>
      </c>
      <c r="H45" s="5">
        <v>0</v>
      </c>
      <c r="I45" s="6">
        <f t="shared" si="6"/>
        <v>21</v>
      </c>
    </row>
    <row r="46" spans="1:11" x14ac:dyDescent="0.25">
      <c r="A46" s="5" t="s">
        <v>13</v>
      </c>
      <c r="B46" s="5">
        <v>1</v>
      </c>
      <c r="C46" s="5">
        <v>0</v>
      </c>
      <c r="D46" s="5">
        <v>1</v>
      </c>
      <c r="E46" s="5">
        <v>0</v>
      </c>
      <c r="F46" s="5">
        <v>1</v>
      </c>
      <c r="G46" s="5">
        <v>0</v>
      </c>
      <c r="H46" s="5">
        <v>0</v>
      </c>
      <c r="I46" s="6">
        <f t="shared" si="6"/>
        <v>3</v>
      </c>
    </row>
    <row r="47" spans="1:11" x14ac:dyDescent="0.25">
      <c r="A47" s="5" t="s">
        <v>14</v>
      </c>
      <c r="B47" s="5">
        <v>1</v>
      </c>
      <c r="C47" s="5">
        <v>2</v>
      </c>
      <c r="D47" s="5">
        <v>3</v>
      </c>
      <c r="E47" s="5">
        <v>0</v>
      </c>
      <c r="F47" s="5">
        <v>1</v>
      </c>
      <c r="G47" s="5">
        <v>1</v>
      </c>
      <c r="H47" s="5">
        <v>0</v>
      </c>
      <c r="I47" s="6">
        <f t="shared" si="6"/>
        <v>8</v>
      </c>
    </row>
    <row r="48" spans="1:11" x14ac:dyDescent="0.25">
      <c r="A48" s="7" t="s">
        <v>15</v>
      </c>
      <c r="B48" s="7">
        <f>SUM(B42:B47)</f>
        <v>168</v>
      </c>
      <c r="C48" s="7">
        <f t="shared" ref="C48:H48" si="7">SUM(C42:C47)</f>
        <v>142</v>
      </c>
      <c r="D48" s="7">
        <f t="shared" si="7"/>
        <v>172</v>
      </c>
      <c r="E48" s="7">
        <f t="shared" si="7"/>
        <v>123</v>
      </c>
      <c r="F48" s="7">
        <f t="shared" si="7"/>
        <v>163</v>
      </c>
      <c r="G48" s="7">
        <f t="shared" si="7"/>
        <v>64</v>
      </c>
      <c r="H48" s="7">
        <f t="shared" si="7"/>
        <v>0</v>
      </c>
      <c r="I48" s="6">
        <f t="shared" si="6"/>
        <v>832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3169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H45"/>
  <sheetViews>
    <sheetView topLeftCell="A4" workbookViewId="0">
      <selection activeCell="G30" sqref="G30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45327</v>
      </c>
      <c r="C2" s="4">
        <v>45328</v>
      </c>
      <c r="D2" s="4">
        <v>45329</v>
      </c>
      <c r="E2" s="4">
        <v>45330</v>
      </c>
      <c r="F2" s="4">
        <v>45331</v>
      </c>
      <c r="G2" s="4">
        <v>45332</v>
      </c>
      <c r="H2" s="3" t="s">
        <v>19</v>
      </c>
    </row>
    <row r="3" spans="1:8" x14ac:dyDescent="0.25">
      <c r="A3" s="5" t="s">
        <v>20</v>
      </c>
      <c r="B3" s="5">
        <v>17</v>
      </c>
      <c r="C3" s="5">
        <v>25</v>
      </c>
      <c r="D3" s="5">
        <v>16</v>
      </c>
      <c r="E3" s="5">
        <v>25</v>
      </c>
      <c r="F3" s="5">
        <v>20</v>
      </c>
      <c r="G3" s="5">
        <v>40</v>
      </c>
      <c r="H3" s="6">
        <f t="shared" ref="H3:H9" si="0">SUM(B3:G3)</f>
        <v>143</v>
      </c>
    </row>
    <row r="4" spans="1:8" x14ac:dyDescent="0.25">
      <c r="A4" s="5" t="s">
        <v>21</v>
      </c>
      <c r="B4" s="5">
        <v>30</v>
      </c>
      <c r="C4" s="5">
        <v>26</v>
      </c>
      <c r="D4" s="5">
        <v>27</v>
      </c>
      <c r="E4" s="5">
        <v>22</v>
      </c>
      <c r="F4" s="5">
        <v>27</v>
      </c>
      <c r="G4" s="5">
        <v>0</v>
      </c>
      <c r="H4" s="6">
        <f t="shared" si="0"/>
        <v>132</v>
      </c>
    </row>
    <row r="5" spans="1:8" x14ac:dyDescent="0.25">
      <c r="A5" s="5" t="s">
        <v>28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33</v>
      </c>
      <c r="C6" s="5">
        <v>38</v>
      </c>
      <c r="D6" s="5">
        <v>46</v>
      </c>
      <c r="E6" s="5">
        <v>32</v>
      </c>
      <c r="F6" s="5">
        <v>48</v>
      </c>
      <c r="G6" s="5">
        <v>0</v>
      </c>
      <c r="H6" s="6">
        <f t="shared" si="0"/>
        <v>197</v>
      </c>
    </row>
    <row r="7" spans="1:8" x14ac:dyDescent="0.25">
      <c r="A7" s="7" t="s">
        <v>15</v>
      </c>
      <c r="B7" s="7">
        <f t="shared" ref="B7:G7" si="1">SUM(B3:B6)</f>
        <v>80</v>
      </c>
      <c r="C7" s="7">
        <f t="shared" si="1"/>
        <v>89</v>
      </c>
      <c r="D7" s="7">
        <f t="shared" si="1"/>
        <v>89</v>
      </c>
      <c r="E7" s="7">
        <f t="shared" si="1"/>
        <v>79</v>
      </c>
      <c r="F7" s="7">
        <f t="shared" si="1"/>
        <v>95</v>
      </c>
      <c r="G7" s="7">
        <f t="shared" si="1"/>
        <v>40</v>
      </c>
      <c r="H7" s="6">
        <f t="shared" si="0"/>
        <v>472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45334</v>
      </c>
      <c r="C11" s="4">
        <v>45335</v>
      </c>
      <c r="D11" s="4">
        <v>45336</v>
      </c>
      <c r="E11" s="4">
        <v>45337</v>
      </c>
      <c r="F11" s="4">
        <v>45338</v>
      </c>
      <c r="G11" s="4">
        <v>45339</v>
      </c>
      <c r="H11" s="3" t="s">
        <v>19</v>
      </c>
    </row>
    <row r="12" spans="1:8" x14ac:dyDescent="0.25">
      <c r="A12" s="5" t="s">
        <v>20</v>
      </c>
      <c r="B12" s="5">
        <v>16</v>
      </c>
      <c r="C12" s="5">
        <v>21</v>
      </c>
      <c r="D12" s="5">
        <v>21</v>
      </c>
      <c r="E12" s="5">
        <v>23</v>
      </c>
      <c r="F12" s="5">
        <v>18</v>
      </c>
      <c r="G12" s="5">
        <v>0</v>
      </c>
      <c r="H12" s="6">
        <f t="shared" ref="H12:H18" si="2">SUM(B12:G12)</f>
        <v>99</v>
      </c>
    </row>
    <row r="13" spans="1:8" x14ac:dyDescent="0.25">
      <c r="A13" s="5" t="s">
        <v>21</v>
      </c>
      <c r="B13" s="5">
        <v>25</v>
      </c>
      <c r="C13" s="5">
        <v>23</v>
      </c>
      <c r="D13" s="5">
        <v>29</v>
      </c>
      <c r="E13" s="5">
        <v>23</v>
      </c>
      <c r="F13" s="5">
        <v>21</v>
      </c>
      <c r="G13" s="5">
        <v>38</v>
      </c>
      <c r="H13" s="6">
        <f t="shared" si="2"/>
        <v>159</v>
      </c>
    </row>
    <row r="14" spans="1:8" x14ac:dyDescent="0.25">
      <c r="A14" s="5" t="s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35</v>
      </c>
      <c r="C15" s="5">
        <v>40</v>
      </c>
      <c r="D15" s="5">
        <v>42</v>
      </c>
      <c r="E15" s="5">
        <v>39</v>
      </c>
      <c r="F15" s="5">
        <v>40</v>
      </c>
      <c r="G15" s="5">
        <v>0</v>
      </c>
      <c r="H15" s="6">
        <f t="shared" si="2"/>
        <v>196</v>
      </c>
    </row>
    <row r="16" spans="1:8" x14ac:dyDescent="0.25">
      <c r="A16" s="7" t="s">
        <v>15</v>
      </c>
      <c r="B16" s="7">
        <f t="shared" ref="B16:G16" si="3">SUM(B12:B15)</f>
        <v>76</v>
      </c>
      <c r="C16" s="7">
        <f t="shared" si="3"/>
        <v>84</v>
      </c>
      <c r="D16" s="7">
        <f t="shared" si="3"/>
        <v>92</v>
      </c>
      <c r="E16" s="7">
        <f>SUM(E12:E15)</f>
        <v>85</v>
      </c>
      <c r="F16" s="7">
        <f t="shared" si="3"/>
        <v>79</v>
      </c>
      <c r="G16" s="7">
        <f t="shared" si="3"/>
        <v>38</v>
      </c>
      <c r="H16" s="6">
        <f t="shared" si="2"/>
        <v>454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45341</v>
      </c>
      <c r="C20" s="4">
        <v>45342</v>
      </c>
      <c r="D20" s="4">
        <v>45343</v>
      </c>
      <c r="E20" s="4">
        <v>45344</v>
      </c>
      <c r="F20" s="4">
        <v>45345</v>
      </c>
      <c r="G20" s="4">
        <v>45346</v>
      </c>
      <c r="H20" s="3" t="s">
        <v>19</v>
      </c>
    </row>
    <row r="21" spans="1:8" x14ac:dyDescent="0.25">
      <c r="A21" s="5" t="s">
        <v>20</v>
      </c>
      <c r="B21" s="5">
        <v>18</v>
      </c>
      <c r="C21" s="5">
        <v>22</v>
      </c>
      <c r="D21" s="5">
        <v>24</v>
      </c>
      <c r="E21" s="5">
        <v>20</v>
      </c>
      <c r="F21" s="5">
        <v>16</v>
      </c>
      <c r="G21" s="5">
        <v>41</v>
      </c>
      <c r="H21" s="6">
        <f>SUM(B21:G21)</f>
        <v>141</v>
      </c>
    </row>
    <row r="22" spans="1:8" x14ac:dyDescent="0.25">
      <c r="A22" s="5" t="s">
        <v>21</v>
      </c>
      <c r="B22" s="5">
        <v>27</v>
      </c>
      <c r="C22" s="5">
        <v>25</v>
      </c>
      <c r="D22" s="5">
        <v>34</v>
      </c>
      <c r="E22" s="5">
        <v>25</v>
      </c>
      <c r="F22" s="5">
        <v>27</v>
      </c>
      <c r="G22" s="5">
        <v>0</v>
      </c>
      <c r="H22" s="6">
        <f t="shared" ref="H22:H27" si="4">SUM(B22:G22)</f>
        <v>138</v>
      </c>
    </row>
    <row r="23" spans="1:8" x14ac:dyDescent="0.25">
      <c r="A23" s="5" t="s">
        <v>28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34</v>
      </c>
      <c r="C24" s="5">
        <v>44</v>
      </c>
      <c r="D24" s="5">
        <v>43</v>
      </c>
      <c r="E24" s="5">
        <v>34</v>
      </c>
      <c r="F24" s="5">
        <v>39</v>
      </c>
      <c r="G24" s="5">
        <v>0</v>
      </c>
      <c r="H24" s="6">
        <f t="shared" si="4"/>
        <v>194</v>
      </c>
    </row>
    <row r="25" spans="1:8" x14ac:dyDescent="0.25">
      <c r="A25" s="7" t="s">
        <v>15</v>
      </c>
      <c r="B25" s="7">
        <f t="shared" ref="B25:G25" si="5">SUM(B21:B24)</f>
        <v>79</v>
      </c>
      <c r="C25" s="7">
        <f t="shared" si="5"/>
        <v>91</v>
      </c>
      <c r="D25" s="7">
        <f t="shared" si="5"/>
        <v>101</v>
      </c>
      <c r="E25" s="7">
        <f>SUM(E21:E24)</f>
        <v>79</v>
      </c>
      <c r="F25" s="7">
        <f t="shared" si="5"/>
        <v>82</v>
      </c>
      <c r="G25" s="7">
        <f t="shared" si="5"/>
        <v>41</v>
      </c>
      <c r="H25" s="6">
        <f t="shared" si="4"/>
        <v>473</v>
      </c>
    </row>
    <row r="26" spans="1:8" x14ac:dyDescent="0.25">
      <c r="A26" s="5" t="s">
        <v>24</v>
      </c>
      <c r="B26" s="5"/>
      <c r="C26" s="5"/>
      <c r="D26" s="5"/>
      <c r="E26" s="5"/>
      <c r="F26" s="5"/>
      <c r="G26" s="5"/>
      <c r="H26" s="6">
        <f t="shared" si="4"/>
        <v>0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45348</v>
      </c>
      <c r="C29" s="4">
        <v>45349</v>
      </c>
      <c r="D29" s="4">
        <v>45350</v>
      </c>
      <c r="E29" s="4">
        <v>45351</v>
      </c>
      <c r="F29" s="4">
        <v>45352</v>
      </c>
      <c r="G29" s="4">
        <v>45353</v>
      </c>
      <c r="H29" s="3" t="s">
        <v>19</v>
      </c>
    </row>
    <row r="30" spans="1:8" x14ac:dyDescent="0.25">
      <c r="A30" s="5" t="s">
        <v>20</v>
      </c>
      <c r="B30" s="5">
        <v>25</v>
      </c>
      <c r="C30" s="5">
        <v>22</v>
      </c>
      <c r="D30" s="5">
        <v>25</v>
      </c>
      <c r="E30" s="5">
        <v>22</v>
      </c>
      <c r="F30" s="5">
        <v>18</v>
      </c>
      <c r="G30" s="5">
        <v>0</v>
      </c>
      <c r="H30" s="6">
        <f>SUM(B30:G30)</f>
        <v>112</v>
      </c>
    </row>
    <row r="31" spans="1:8" x14ac:dyDescent="0.25">
      <c r="A31" s="5" t="s">
        <v>21</v>
      </c>
      <c r="B31" s="5">
        <v>25</v>
      </c>
      <c r="C31" s="5">
        <v>24</v>
      </c>
      <c r="D31" s="5">
        <v>26</v>
      </c>
      <c r="E31" s="5">
        <v>29</v>
      </c>
      <c r="F31" s="5">
        <v>32</v>
      </c>
      <c r="G31" s="5">
        <v>40</v>
      </c>
      <c r="H31" s="6">
        <f t="shared" ref="H31:H36" si="6">SUM(B31:G31)</f>
        <v>176</v>
      </c>
    </row>
    <row r="32" spans="1:8" x14ac:dyDescent="0.25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39</v>
      </c>
      <c r="C33" s="5">
        <v>41</v>
      </c>
      <c r="D33" s="5">
        <v>38</v>
      </c>
      <c r="E33" s="5">
        <v>36</v>
      </c>
      <c r="F33" s="5">
        <v>41</v>
      </c>
      <c r="G33" s="5">
        <v>0</v>
      </c>
      <c r="H33" s="6">
        <f t="shared" si="6"/>
        <v>195</v>
      </c>
    </row>
    <row r="34" spans="1:8" x14ac:dyDescent="0.25">
      <c r="A34" s="7" t="s">
        <v>15</v>
      </c>
      <c r="B34" s="7">
        <f t="shared" ref="B34:G34" si="7">SUM(B30:B33)</f>
        <v>89</v>
      </c>
      <c r="C34" s="7">
        <f t="shared" si="7"/>
        <v>87</v>
      </c>
      <c r="D34" s="7">
        <f t="shared" si="7"/>
        <v>89</v>
      </c>
      <c r="E34" s="7">
        <f t="shared" si="7"/>
        <v>87</v>
      </c>
      <c r="F34" s="7">
        <f t="shared" si="7"/>
        <v>91</v>
      </c>
      <c r="G34" s="7">
        <f t="shared" si="7"/>
        <v>40</v>
      </c>
      <c r="H34" s="6">
        <f t="shared" si="6"/>
        <v>483</v>
      </c>
    </row>
    <row r="35" spans="1:8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28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2"/>
  <sheetViews>
    <sheetView topLeftCell="A31" workbookViewId="0">
      <selection activeCell="G42" sqref="G42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45719</v>
      </c>
      <c r="C2" s="4">
        <v>45720</v>
      </c>
      <c r="D2" s="4">
        <v>45721</v>
      </c>
      <c r="E2" s="4">
        <v>45722</v>
      </c>
      <c r="F2" s="4">
        <v>45723</v>
      </c>
      <c r="G2" s="4">
        <v>45724</v>
      </c>
      <c r="H2" s="4">
        <v>45725</v>
      </c>
      <c r="I2" s="2" t="s">
        <v>8</v>
      </c>
    </row>
    <row r="3" spans="1:11" x14ac:dyDescent="0.25">
      <c r="A3" s="5" t="s">
        <v>9</v>
      </c>
      <c r="B3" s="5">
        <v>85</v>
      </c>
      <c r="C3" s="5">
        <v>103</v>
      </c>
      <c r="D3" s="5">
        <v>86</v>
      </c>
      <c r="E3" s="5">
        <v>79</v>
      </c>
      <c r="F3" s="5">
        <v>82</v>
      </c>
      <c r="G3" s="5">
        <v>42</v>
      </c>
      <c r="H3" s="5">
        <v>0</v>
      </c>
      <c r="I3" s="6">
        <f t="shared" ref="I3:I11" si="0">SUM(B3:H3)</f>
        <v>477</v>
      </c>
    </row>
    <row r="4" spans="1:11" x14ac:dyDescent="0.25">
      <c r="A4" s="5" t="s">
        <v>10</v>
      </c>
      <c r="B4" s="5">
        <v>57</v>
      </c>
      <c r="C4" s="5">
        <v>47</v>
      </c>
      <c r="D4" s="5">
        <v>55</v>
      </c>
      <c r="E4" s="5">
        <v>36</v>
      </c>
      <c r="F4" s="5">
        <v>55</v>
      </c>
      <c r="G4" s="5">
        <v>12</v>
      </c>
      <c r="H4" s="5">
        <v>0</v>
      </c>
      <c r="I4" s="6">
        <f t="shared" si="0"/>
        <v>262</v>
      </c>
    </row>
    <row r="5" spans="1:11" x14ac:dyDescent="0.25">
      <c r="A5" s="5" t="s">
        <v>11</v>
      </c>
      <c r="B5" s="5">
        <v>10</v>
      </c>
      <c r="C5" s="5">
        <v>5</v>
      </c>
      <c r="D5" s="5">
        <v>10</v>
      </c>
      <c r="E5" s="5">
        <v>0</v>
      </c>
      <c r="F5" s="5">
        <v>8</v>
      </c>
      <c r="G5" s="5">
        <v>0</v>
      </c>
      <c r="H5" s="5">
        <v>0</v>
      </c>
      <c r="I5" s="6">
        <f t="shared" si="0"/>
        <v>33</v>
      </c>
    </row>
    <row r="6" spans="1:11" x14ac:dyDescent="0.25">
      <c r="A6" s="5" t="s">
        <v>12</v>
      </c>
      <c r="B6" s="5">
        <v>5</v>
      </c>
      <c r="C6" s="5">
        <v>7</v>
      </c>
      <c r="D6" s="5">
        <v>6</v>
      </c>
      <c r="E6" s="5">
        <v>0</v>
      </c>
      <c r="F6" s="5">
        <v>7</v>
      </c>
      <c r="G6" s="5">
        <v>0</v>
      </c>
      <c r="H6" s="5">
        <v>0</v>
      </c>
      <c r="I6" s="6">
        <f t="shared" si="0"/>
        <v>25</v>
      </c>
    </row>
    <row r="7" spans="1:11" x14ac:dyDescent="0.25">
      <c r="A7" s="5" t="s">
        <v>13</v>
      </c>
      <c r="B7" s="5">
        <v>1</v>
      </c>
      <c r="C7" s="5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3</v>
      </c>
    </row>
    <row r="8" spans="1:11" x14ac:dyDescent="0.25">
      <c r="A8" s="5" t="s">
        <v>14</v>
      </c>
      <c r="B8" s="5">
        <v>0</v>
      </c>
      <c r="C8" s="5">
        <v>1</v>
      </c>
      <c r="D8" s="5">
        <v>3</v>
      </c>
      <c r="E8" s="5">
        <v>0</v>
      </c>
      <c r="F8" s="5">
        <v>2</v>
      </c>
      <c r="G8" s="5">
        <v>0</v>
      </c>
      <c r="H8" s="5">
        <v>0</v>
      </c>
      <c r="I8" s="6">
        <f t="shared" si="0"/>
        <v>6</v>
      </c>
    </row>
    <row r="9" spans="1:11" x14ac:dyDescent="0.25">
      <c r="A9" s="7" t="s">
        <v>15</v>
      </c>
      <c r="B9" s="7">
        <f t="shared" ref="B9:H9" si="1">SUM(B3:B8)</f>
        <v>158</v>
      </c>
      <c r="C9" s="7">
        <f t="shared" si="1"/>
        <v>165</v>
      </c>
      <c r="D9" s="7">
        <f t="shared" si="1"/>
        <v>160</v>
      </c>
      <c r="E9" s="7">
        <f t="shared" si="1"/>
        <v>115</v>
      </c>
      <c r="F9" s="7">
        <f t="shared" si="1"/>
        <v>154</v>
      </c>
      <c r="G9" s="7">
        <f t="shared" si="1"/>
        <v>54</v>
      </c>
      <c r="H9" s="7">
        <f t="shared" si="1"/>
        <v>0</v>
      </c>
      <c r="I9" s="6">
        <f t="shared" si="0"/>
        <v>806</v>
      </c>
      <c r="J9" s="1"/>
      <c r="K9" s="1"/>
    </row>
    <row r="10" spans="1:11" x14ac:dyDescent="0.25">
      <c r="A10" s="5" t="s">
        <v>31</v>
      </c>
      <c r="B10" s="5">
        <v>0</v>
      </c>
      <c r="C10" s="5">
        <v>0</v>
      </c>
      <c r="D10" s="5">
        <v>0</v>
      </c>
      <c r="E10" s="5">
        <v>5</v>
      </c>
      <c r="F10" s="5">
        <v>0</v>
      </c>
      <c r="G10" s="5">
        <v>0</v>
      </c>
      <c r="H10" s="5">
        <v>0</v>
      </c>
      <c r="I10" s="6">
        <f t="shared" si="0"/>
        <v>5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45726</v>
      </c>
      <c r="C15" s="4">
        <v>45727</v>
      </c>
      <c r="D15" s="4">
        <v>45728</v>
      </c>
      <c r="E15" s="4">
        <v>45729</v>
      </c>
      <c r="F15" s="4">
        <v>45730</v>
      </c>
      <c r="G15" s="4">
        <v>45731</v>
      </c>
      <c r="H15" s="4">
        <v>45732</v>
      </c>
      <c r="I15" s="2" t="s">
        <v>8</v>
      </c>
    </row>
    <row r="16" spans="1:11" x14ac:dyDescent="0.25">
      <c r="A16" s="5" t="s">
        <v>9</v>
      </c>
      <c r="B16" s="5">
        <v>88</v>
      </c>
      <c r="C16" s="5">
        <v>92</v>
      </c>
      <c r="D16" s="5">
        <v>71</v>
      </c>
      <c r="E16" s="5">
        <v>76</v>
      </c>
      <c r="F16" s="5">
        <v>90</v>
      </c>
      <c r="G16" s="5">
        <v>40</v>
      </c>
      <c r="H16" s="5">
        <v>0</v>
      </c>
      <c r="I16" s="6">
        <f>SUM(B16:H16)</f>
        <v>457</v>
      </c>
    </row>
    <row r="17" spans="1:11" x14ac:dyDescent="0.25">
      <c r="A17" s="5" t="s">
        <v>10</v>
      </c>
      <c r="B17" s="5">
        <v>53</v>
      </c>
      <c r="C17" s="5">
        <v>49</v>
      </c>
      <c r="D17" s="5">
        <v>46</v>
      </c>
      <c r="E17" s="5">
        <v>42</v>
      </c>
      <c r="F17" s="5">
        <v>57</v>
      </c>
      <c r="G17" s="5">
        <v>23</v>
      </c>
      <c r="H17" s="5">
        <v>0</v>
      </c>
      <c r="I17" s="6">
        <f t="shared" ref="I17:I21" si="2">SUM(B17:H17)</f>
        <v>270</v>
      </c>
    </row>
    <row r="18" spans="1:11" x14ac:dyDescent="0.25">
      <c r="A18" s="5" t="s">
        <v>11</v>
      </c>
      <c r="B18" s="5">
        <v>0</v>
      </c>
      <c r="C18" s="5">
        <v>0</v>
      </c>
      <c r="D18" s="5">
        <v>7</v>
      </c>
      <c r="E18" s="5">
        <v>0</v>
      </c>
      <c r="F18" s="5">
        <v>2</v>
      </c>
      <c r="G18" s="5">
        <v>1</v>
      </c>
      <c r="H18" s="5">
        <v>0</v>
      </c>
      <c r="I18" s="6">
        <f t="shared" si="2"/>
        <v>10</v>
      </c>
    </row>
    <row r="19" spans="1:11" x14ac:dyDescent="0.25">
      <c r="A19" s="5" t="s">
        <v>12</v>
      </c>
      <c r="B19" s="5">
        <v>6</v>
      </c>
      <c r="C19" s="5">
        <v>9</v>
      </c>
      <c r="D19" s="5">
        <v>7</v>
      </c>
      <c r="E19" s="5">
        <v>0</v>
      </c>
      <c r="F19" s="5">
        <v>10</v>
      </c>
      <c r="G19" s="5">
        <v>0</v>
      </c>
      <c r="H19" s="5">
        <v>0</v>
      </c>
      <c r="I19" s="6">
        <f t="shared" si="2"/>
        <v>32</v>
      </c>
    </row>
    <row r="20" spans="1:11" x14ac:dyDescent="0.25">
      <c r="A20" s="5" t="s">
        <v>13</v>
      </c>
      <c r="B20" s="5">
        <v>1</v>
      </c>
      <c r="C20" s="5">
        <v>2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6">
        <f t="shared" si="2"/>
        <v>5</v>
      </c>
    </row>
    <row r="21" spans="1:11" x14ac:dyDescent="0.25">
      <c r="A21" s="5" t="s">
        <v>14</v>
      </c>
      <c r="B21" s="5">
        <v>0</v>
      </c>
      <c r="C21" s="5">
        <v>0</v>
      </c>
      <c r="D21" s="5">
        <v>1</v>
      </c>
      <c r="E21" s="5">
        <v>0</v>
      </c>
      <c r="F21" s="5">
        <v>1</v>
      </c>
      <c r="G21" s="5">
        <v>1</v>
      </c>
      <c r="H21" s="5">
        <v>0</v>
      </c>
      <c r="I21" s="6">
        <f t="shared" si="2"/>
        <v>3</v>
      </c>
    </row>
    <row r="22" spans="1:11" x14ac:dyDescent="0.25">
      <c r="A22" s="7" t="s">
        <v>15</v>
      </c>
      <c r="B22" s="7">
        <f t="shared" ref="B22:G22" si="3">SUM(B16:B21)</f>
        <v>148</v>
      </c>
      <c r="C22" s="7">
        <f t="shared" si="3"/>
        <v>152</v>
      </c>
      <c r="D22" s="7">
        <f t="shared" si="3"/>
        <v>133</v>
      </c>
      <c r="E22" s="7">
        <f t="shared" si="3"/>
        <v>118</v>
      </c>
      <c r="F22" s="7">
        <f t="shared" si="3"/>
        <v>161</v>
      </c>
      <c r="G22" s="7">
        <f t="shared" si="3"/>
        <v>65</v>
      </c>
      <c r="H22" s="7">
        <f>SUM(H16:H21)</f>
        <v>0</v>
      </c>
      <c r="I22" s="6">
        <f>SUM(B22:H22)</f>
        <v>777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45733</v>
      </c>
      <c r="C28" s="4">
        <v>45734</v>
      </c>
      <c r="D28" s="4">
        <v>45735</v>
      </c>
      <c r="E28" s="4">
        <v>45736</v>
      </c>
      <c r="F28" s="4">
        <v>45737</v>
      </c>
      <c r="G28" s="4">
        <v>45738</v>
      </c>
      <c r="H28" s="4">
        <v>45739</v>
      </c>
      <c r="I28" s="2" t="s">
        <v>8</v>
      </c>
    </row>
    <row r="29" spans="1:11" x14ac:dyDescent="0.25">
      <c r="A29" s="5" t="s">
        <v>9</v>
      </c>
      <c r="B29" s="5">
        <v>84</v>
      </c>
      <c r="C29" s="5">
        <v>106</v>
      </c>
      <c r="D29" s="5">
        <v>95</v>
      </c>
      <c r="E29" s="5">
        <v>80</v>
      </c>
      <c r="F29" s="5">
        <v>81</v>
      </c>
      <c r="G29" s="5">
        <v>46</v>
      </c>
      <c r="H29" s="5">
        <v>0</v>
      </c>
      <c r="I29" s="6">
        <f t="shared" ref="I29:I37" si="4">SUM(B29:H29)</f>
        <v>492</v>
      </c>
    </row>
    <row r="30" spans="1:11" x14ac:dyDescent="0.25">
      <c r="A30" s="5" t="s">
        <v>10</v>
      </c>
      <c r="B30" s="5">
        <v>55</v>
      </c>
      <c r="C30" s="5">
        <v>46</v>
      </c>
      <c r="D30" s="5">
        <v>48</v>
      </c>
      <c r="E30" s="5">
        <v>39</v>
      </c>
      <c r="F30" s="5">
        <v>60</v>
      </c>
      <c r="G30" s="5">
        <v>13</v>
      </c>
      <c r="H30" s="5">
        <v>7</v>
      </c>
      <c r="I30" s="6">
        <f t="shared" si="4"/>
        <v>268</v>
      </c>
    </row>
    <row r="31" spans="1:11" x14ac:dyDescent="0.25">
      <c r="A31" s="5" t="s">
        <v>11</v>
      </c>
      <c r="B31" s="5">
        <v>26</v>
      </c>
      <c r="C31" s="5">
        <v>11</v>
      </c>
      <c r="D31" s="5">
        <v>19</v>
      </c>
      <c r="E31" s="5">
        <v>0</v>
      </c>
      <c r="F31" s="5">
        <v>13</v>
      </c>
      <c r="G31" s="5">
        <v>0</v>
      </c>
      <c r="H31" s="5">
        <v>0</v>
      </c>
      <c r="I31" s="6">
        <f t="shared" si="4"/>
        <v>69</v>
      </c>
    </row>
    <row r="32" spans="1:11" x14ac:dyDescent="0.25">
      <c r="A32" s="5" t="s">
        <v>12</v>
      </c>
      <c r="B32" s="5">
        <v>6</v>
      </c>
      <c r="C32" s="5">
        <v>7</v>
      </c>
      <c r="D32" s="5">
        <v>5</v>
      </c>
      <c r="E32" s="5">
        <v>0</v>
      </c>
      <c r="F32" s="5">
        <v>9</v>
      </c>
      <c r="G32" s="5">
        <v>0</v>
      </c>
      <c r="H32" s="5">
        <v>0</v>
      </c>
      <c r="I32" s="6">
        <f t="shared" si="4"/>
        <v>27</v>
      </c>
    </row>
    <row r="33" spans="1:11" x14ac:dyDescent="0.25">
      <c r="A33" s="5" t="s">
        <v>13</v>
      </c>
      <c r="B33" s="5">
        <v>0</v>
      </c>
      <c r="C33" s="5">
        <v>2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6">
        <f t="shared" si="4"/>
        <v>3</v>
      </c>
    </row>
    <row r="34" spans="1:11" x14ac:dyDescent="0.25">
      <c r="A34" s="5" t="s">
        <v>14</v>
      </c>
      <c r="B34" s="5">
        <v>0</v>
      </c>
      <c r="C34" s="5">
        <v>0</v>
      </c>
      <c r="D34" s="5">
        <v>0</v>
      </c>
      <c r="E34" s="5">
        <v>2</v>
      </c>
      <c r="F34" s="5">
        <v>2</v>
      </c>
      <c r="G34" s="5">
        <v>1</v>
      </c>
      <c r="H34" s="5">
        <v>0</v>
      </c>
      <c r="I34" s="6">
        <f t="shared" si="4"/>
        <v>5</v>
      </c>
    </row>
    <row r="35" spans="1:11" x14ac:dyDescent="0.25">
      <c r="A35" s="7" t="s">
        <v>15</v>
      </c>
      <c r="B35" s="7">
        <f t="shared" ref="B35:H35" si="5">SUM(B29:B34)</f>
        <v>171</v>
      </c>
      <c r="C35" s="7">
        <f t="shared" si="5"/>
        <v>172</v>
      </c>
      <c r="D35" s="7">
        <f t="shared" si="5"/>
        <v>167</v>
      </c>
      <c r="E35" s="7">
        <f t="shared" si="5"/>
        <v>121</v>
      </c>
      <c r="F35" s="7">
        <f t="shared" si="5"/>
        <v>166</v>
      </c>
      <c r="G35" s="7">
        <f t="shared" si="5"/>
        <v>60</v>
      </c>
      <c r="H35" s="7">
        <f t="shared" si="5"/>
        <v>7</v>
      </c>
      <c r="I35" s="6">
        <f t="shared" si="4"/>
        <v>864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29</v>
      </c>
      <c r="B37" s="5">
        <v>0</v>
      </c>
      <c r="C37" s="5">
        <v>0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4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45740</v>
      </c>
      <c r="C41" s="4">
        <v>45741</v>
      </c>
      <c r="D41" s="4">
        <v>45742</v>
      </c>
      <c r="E41" s="4">
        <v>45743</v>
      </c>
      <c r="F41" s="4">
        <v>45744</v>
      </c>
      <c r="G41" s="4">
        <v>45745</v>
      </c>
      <c r="H41" s="4">
        <v>45746</v>
      </c>
      <c r="I41" s="2" t="s">
        <v>8</v>
      </c>
    </row>
    <row r="42" spans="1:11" x14ac:dyDescent="0.25">
      <c r="A42" s="5" t="s">
        <v>9</v>
      </c>
      <c r="B42" s="5">
        <v>78</v>
      </c>
      <c r="C42" s="5">
        <v>91</v>
      </c>
      <c r="D42" s="5">
        <v>96</v>
      </c>
      <c r="E42" s="5">
        <v>76</v>
      </c>
      <c r="F42" s="5">
        <v>89</v>
      </c>
      <c r="G42" s="5">
        <v>45</v>
      </c>
      <c r="H42" s="5">
        <v>0</v>
      </c>
      <c r="I42" s="6">
        <f t="shared" ref="I42:I50" si="6">SUM(B42:H42)</f>
        <v>475</v>
      </c>
    </row>
    <row r="43" spans="1:11" x14ac:dyDescent="0.25">
      <c r="A43" s="5" t="s">
        <v>10</v>
      </c>
      <c r="B43" s="5">
        <v>61</v>
      </c>
      <c r="C43" s="5">
        <v>44</v>
      </c>
      <c r="D43" s="5">
        <v>57</v>
      </c>
      <c r="E43" s="5">
        <v>42</v>
      </c>
      <c r="F43" s="5">
        <v>58</v>
      </c>
      <c r="G43" s="5">
        <v>21</v>
      </c>
      <c r="H43" s="5">
        <v>0</v>
      </c>
      <c r="I43" s="6">
        <f t="shared" si="6"/>
        <v>283</v>
      </c>
    </row>
    <row r="44" spans="1:11" x14ac:dyDescent="0.25">
      <c r="A44" s="5" t="s">
        <v>11</v>
      </c>
      <c r="B44" s="5">
        <v>14</v>
      </c>
      <c r="C44" s="5">
        <v>17</v>
      </c>
      <c r="D44" s="5">
        <v>20</v>
      </c>
      <c r="E44" s="5">
        <v>0</v>
      </c>
      <c r="F44" s="5">
        <v>11</v>
      </c>
      <c r="G44" s="5">
        <v>0</v>
      </c>
      <c r="H44" s="5">
        <v>0</v>
      </c>
      <c r="I44" s="6">
        <f t="shared" si="6"/>
        <v>62</v>
      </c>
    </row>
    <row r="45" spans="1:11" x14ac:dyDescent="0.25">
      <c r="A45" s="5" t="s">
        <v>12</v>
      </c>
      <c r="B45" s="5">
        <v>7</v>
      </c>
      <c r="C45" s="5">
        <v>5</v>
      </c>
      <c r="D45" s="5">
        <v>5</v>
      </c>
      <c r="E45" s="5">
        <v>0</v>
      </c>
      <c r="F45" s="5">
        <v>9</v>
      </c>
      <c r="G45" s="5">
        <v>0</v>
      </c>
      <c r="H45" s="5">
        <v>0</v>
      </c>
      <c r="I45" s="6">
        <f t="shared" si="6"/>
        <v>26</v>
      </c>
    </row>
    <row r="46" spans="1:11" x14ac:dyDescent="0.25">
      <c r="A46" s="5" t="s">
        <v>13</v>
      </c>
      <c r="B46" s="5">
        <v>1</v>
      </c>
      <c r="C46" s="5">
        <v>3</v>
      </c>
      <c r="D46" s="5">
        <v>1</v>
      </c>
      <c r="E46" s="5">
        <v>0</v>
      </c>
      <c r="F46" s="5">
        <v>1</v>
      </c>
      <c r="G46" s="5">
        <v>0</v>
      </c>
      <c r="H46" s="5">
        <v>0</v>
      </c>
      <c r="I46" s="6">
        <f t="shared" si="6"/>
        <v>6</v>
      </c>
    </row>
    <row r="47" spans="1:11" x14ac:dyDescent="0.25">
      <c r="A47" s="5" t="s">
        <v>14</v>
      </c>
      <c r="B47" s="5">
        <v>1</v>
      </c>
      <c r="C47" s="5">
        <v>1</v>
      </c>
      <c r="D47" s="5">
        <v>0</v>
      </c>
      <c r="E47" s="5">
        <v>0</v>
      </c>
      <c r="F47" s="5">
        <v>2</v>
      </c>
      <c r="G47" s="5">
        <v>0</v>
      </c>
      <c r="H47" s="5">
        <v>0</v>
      </c>
      <c r="I47" s="6">
        <f t="shared" si="6"/>
        <v>4</v>
      </c>
    </row>
    <row r="48" spans="1:11" x14ac:dyDescent="0.25">
      <c r="A48" s="7" t="s">
        <v>15</v>
      </c>
      <c r="B48" s="7">
        <f>SUM(B42:B47)</f>
        <v>162</v>
      </c>
      <c r="C48" s="7">
        <f t="shared" ref="C48:H48" si="7">SUM(C42:C47)</f>
        <v>161</v>
      </c>
      <c r="D48" s="7">
        <f t="shared" si="7"/>
        <v>179</v>
      </c>
      <c r="E48" s="7">
        <f t="shared" si="7"/>
        <v>118</v>
      </c>
      <c r="F48" s="7">
        <f t="shared" si="7"/>
        <v>170</v>
      </c>
      <c r="G48" s="7">
        <f t="shared" si="7"/>
        <v>66</v>
      </c>
      <c r="H48" s="7">
        <f t="shared" si="7"/>
        <v>0</v>
      </c>
      <c r="I48" s="6">
        <f t="shared" si="6"/>
        <v>856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3303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5"/>
  <sheetViews>
    <sheetView topLeftCell="A29" workbookViewId="0">
      <selection activeCell="G30" sqref="G30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45719</v>
      </c>
      <c r="C2" s="4">
        <v>45720</v>
      </c>
      <c r="D2" s="4">
        <v>45721</v>
      </c>
      <c r="E2" s="4">
        <v>45722</v>
      </c>
      <c r="F2" s="4">
        <v>45723</v>
      </c>
      <c r="G2" s="4">
        <v>45724</v>
      </c>
      <c r="H2" s="3" t="s">
        <v>19</v>
      </c>
    </row>
    <row r="3" spans="1:8" x14ac:dyDescent="0.25">
      <c r="A3" s="5" t="s">
        <v>20</v>
      </c>
      <c r="B3" s="5">
        <v>17</v>
      </c>
      <c r="C3" s="5">
        <v>22</v>
      </c>
      <c r="D3" s="5">
        <v>21</v>
      </c>
      <c r="E3" s="5">
        <v>22</v>
      </c>
      <c r="F3" s="5">
        <v>21</v>
      </c>
      <c r="G3" s="5">
        <v>42</v>
      </c>
      <c r="H3" s="6">
        <f t="shared" ref="H3:H9" si="0">SUM(B3:G3)</f>
        <v>145</v>
      </c>
    </row>
    <row r="4" spans="1:8" x14ac:dyDescent="0.25">
      <c r="A4" s="5" t="s">
        <v>21</v>
      </c>
      <c r="B4" s="5">
        <v>29</v>
      </c>
      <c r="C4" s="5">
        <v>29</v>
      </c>
      <c r="D4" s="5">
        <v>29</v>
      </c>
      <c r="E4" s="5">
        <v>23</v>
      </c>
      <c r="F4" s="5">
        <v>25</v>
      </c>
      <c r="G4" s="5">
        <v>0</v>
      </c>
      <c r="H4" s="6">
        <f t="shared" si="0"/>
        <v>135</v>
      </c>
    </row>
    <row r="5" spans="1:8" x14ac:dyDescent="0.25">
      <c r="A5" s="5" t="s">
        <v>28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39</v>
      </c>
      <c r="C6" s="5">
        <v>52</v>
      </c>
      <c r="D6" s="5">
        <v>36</v>
      </c>
      <c r="E6" s="5">
        <v>34</v>
      </c>
      <c r="F6" s="5">
        <v>36</v>
      </c>
      <c r="G6" s="5">
        <v>0</v>
      </c>
      <c r="H6" s="6">
        <f t="shared" si="0"/>
        <v>197</v>
      </c>
    </row>
    <row r="7" spans="1:8" x14ac:dyDescent="0.25">
      <c r="A7" s="7" t="s">
        <v>15</v>
      </c>
      <c r="B7" s="7">
        <f t="shared" ref="B7:G7" si="1">SUM(B3:B6)</f>
        <v>85</v>
      </c>
      <c r="C7" s="7">
        <f t="shared" si="1"/>
        <v>103</v>
      </c>
      <c r="D7" s="7">
        <f t="shared" si="1"/>
        <v>86</v>
      </c>
      <c r="E7" s="7">
        <f t="shared" si="1"/>
        <v>79</v>
      </c>
      <c r="F7" s="7">
        <f t="shared" si="1"/>
        <v>82</v>
      </c>
      <c r="G7" s="7">
        <f t="shared" si="1"/>
        <v>42</v>
      </c>
      <c r="H7" s="6">
        <f t="shared" si="0"/>
        <v>477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45726</v>
      </c>
      <c r="C11" s="4">
        <v>45727</v>
      </c>
      <c r="D11" s="4">
        <v>45728</v>
      </c>
      <c r="E11" s="4">
        <v>45729</v>
      </c>
      <c r="F11" s="4">
        <v>45730</v>
      </c>
      <c r="G11" s="4">
        <v>45731</v>
      </c>
      <c r="H11" s="3" t="s">
        <v>19</v>
      </c>
    </row>
    <row r="12" spans="1:8" x14ac:dyDescent="0.25">
      <c r="A12" s="5" t="s">
        <v>20</v>
      </c>
      <c r="B12" s="5">
        <v>22</v>
      </c>
      <c r="C12" s="5">
        <v>22</v>
      </c>
      <c r="D12" s="5">
        <v>0</v>
      </c>
      <c r="E12" s="5">
        <v>25</v>
      </c>
      <c r="F12" s="5">
        <v>24</v>
      </c>
      <c r="G12" s="5">
        <v>0</v>
      </c>
      <c r="H12" s="6">
        <f t="shared" ref="H12:H18" si="2">SUM(B12:G12)</f>
        <v>93</v>
      </c>
    </row>
    <row r="13" spans="1:8" x14ac:dyDescent="0.25">
      <c r="A13" s="5" t="s">
        <v>21</v>
      </c>
      <c r="B13" s="5">
        <v>26</v>
      </c>
      <c r="C13" s="5">
        <v>25</v>
      </c>
      <c r="D13" s="5">
        <v>30</v>
      </c>
      <c r="E13" s="5">
        <v>23</v>
      </c>
      <c r="F13" s="5">
        <v>29</v>
      </c>
      <c r="G13" s="5">
        <v>40</v>
      </c>
      <c r="H13" s="6">
        <f t="shared" si="2"/>
        <v>173</v>
      </c>
    </row>
    <row r="14" spans="1:8" x14ac:dyDescent="0.25">
      <c r="A14" s="5" t="s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40</v>
      </c>
      <c r="C15" s="5">
        <v>45</v>
      </c>
      <c r="D15" s="5">
        <v>41</v>
      </c>
      <c r="E15" s="5">
        <v>28</v>
      </c>
      <c r="F15" s="5">
        <v>37</v>
      </c>
      <c r="G15" s="5">
        <v>0</v>
      </c>
      <c r="H15" s="6">
        <f t="shared" si="2"/>
        <v>191</v>
      </c>
    </row>
    <row r="16" spans="1:8" x14ac:dyDescent="0.25">
      <c r="A16" s="7" t="s">
        <v>15</v>
      </c>
      <c r="B16" s="7">
        <f t="shared" ref="B16:G16" si="3">SUM(B12:B15)</f>
        <v>88</v>
      </c>
      <c r="C16" s="7">
        <f t="shared" si="3"/>
        <v>92</v>
      </c>
      <c r="D16" s="7">
        <f t="shared" si="3"/>
        <v>71</v>
      </c>
      <c r="E16" s="7">
        <f>SUM(E12:E15)</f>
        <v>76</v>
      </c>
      <c r="F16" s="7">
        <f t="shared" si="3"/>
        <v>90</v>
      </c>
      <c r="G16" s="7">
        <f t="shared" si="3"/>
        <v>40</v>
      </c>
      <c r="H16" s="6">
        <f t="shared" si="2"/>
        <v>457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45733</v>
      </c>
      <c r="C20" s="4">
        <v>45734</v>
      </c>
      <c r="D20" s="4">
        <v>45735</v>
      </c>
      <c r="E20" s="4">
        <v>45736</v>
      </c>
      <c r="F20" s="4">
        <v>45737</v>
      </c>
      <c r="G20" s="4">
        <v>45738</v>
      </c>
      <c r="H20" s="3" t="s">
        <v>19</v>
      </c>
    </row>
    <row r="21" spans="1:8" x14ac:dyDescent="0.25">
      <c r="A21" s="5" t="s">
        <v>20</v>
      </c>
      <c r="B21" s="5">
        <v>19</v>
      </c>
      <c r="C21" s="5">
        <v>19</v>
      </c>
      <c r="D21" s="5">
        <v>22</v>
      </c>
      <c r="E21" s="5">
        <v>22</v>
      </c>
      <c r="F21" s="5">
        <v>21</v>
      </c>
      <c r="G21" s="5">
        <v>46</v>
      </c>
      <c r="H21" s="6">
        <f t="shared" ref="H21:H27" si="4">SUM(B21:G21)</f>
        <v>149</v>
      </c>
    </row>
    <row r="22" spans="1:8" x14ac:dyDescent="0.25">
      <c r="A22" s="5" t="s">
        <v>21</v>
      </c>
      <c r="B22" s="5">
        <v>28</v>
      </c>
      <c r="C22" s="5">
        <v>39</v>
      </c>
      <c r="D22" s="5">
        <v>31</v>
      </c>
      <c r="E22" s="5">
        <v>25</v>
      </c>
      <c r="F22" s="5">
        <v>24</v>
      </c>
      <c r="G22" s="5">
        <v>0</v>
      </c>
      <c r="H22" s="6">
        <f t="shared" si="4"/>
        <v>147</v>
      </c>
    </row>
    <row r="23" spans="1:8" x14ac:dyDescent="0.25">
      <c r="A23" s="5" t="s">
        <v>28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37</v>
      </c>
      <c r="C24" s="5">
        <v>48</v>
      </c>
      <c r="D24" s="5">
        <v>38</v>
      </c>
      <c r="E24" s="5">
        <v>33</v>
      </c>
      <c r="F24" s="5">
        <v>36</v>
      </c>
      <c r="G24" s="5">
        <v>0</v>
      </c>
      <c r="H24" s="6">
        <f t="shared" si="4"/>
        <v>192</v>
      </c>
    </row>
    <row r="25" spans="1:8" x14ac:dyDescent="0.25">
      <c r="A25" s="7" t="s">
        <v>15</v>
      </c>
      <c r="B25" s="7">
        <f t="shared" ref="B25:G25" si="5">SUM(B21:B24)</f>
        <v>84</v>
      </c>
      <c r="C25" s="7">
        <f t="shared" si="5"/>
        <v>106</v>
      </c>
      <c r="D25" s="7">
        <f t="shared" si="5"/>
        <v>91</v>
      </c>
      <c r="E25" s="7">
        <f>SUM(E21:E24)</f>
        <v>80</v>
      </c>
      <c r="F25" s="7">
        <f t="shared" si="5"/>
        <v>81</v>
      </c>
      <c r="G25" s="7">
        <f t="shared" si="5"/>
        <v>46</v>
      </c>
      <c r="H25" s="6">
        <f t="shared" si="4"/>
        <v>488</v>
      </c>
    </row>
    <row r="26" spans="1:8" x14ac:dyDescent="0.25">
      <c r="A26" s="5" t="s">
        <v>24</v>
      </c>
      <c r="B26" s="5"/>
      <c r="C26" s="5"/>
      <c r="D26" s="5"/>
      <c r="E26" s="5"/>
      <c r="F26" s="5"/>
      <c r="G26" s="5"/>
      <c r="H26" s="6">
        <f t="shared" si="4"/>
        <v>0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45376</v>
      </c>
      <c r="C29" s="4">
        <v>45377</v>
      </c>
      <c r="D29" s="4">
        <v>45378</v>
      </c>
      <c r="E29" s="4">
        <v>45379</v>
      </c>
      <c r="F29" s="4">
        <v>45380</v>
      </c>
      <c r="G29" s="4">
        <v>45381</v>
      </c>
      <c r="H29" s="3" t="s">
        <v>19</v>
      </c>
    </row>
    <row r="30" spans="1:8" x14ac:dyDescent="0.25">
      <c r="A30" s="5" t="s">
        <v>20</v>
      </c>
      <c r="B30" s="5">
        <v>21</v>
      </c>
      <c r="C30" s="5">
        <v>20</v>
      </c>
      <c r="D30" s="5">
        <v>21</v>
      </c>
      <c r="E30" s="5">
        <v>22</v>
      </c>
      <c r="F30" s="5">
        <v>20</v>
      </c>
      <c r="G30" s="5">
        <v>0</v>
      </c>
      <c r="H30" s="6">
        <f>SUM(B30:G30)</f>
        <v>104</v>
      </c>
    </row>
    <row r="31" spans="1:8" x14ac:dyDescent="0.25">
      <c r="A31" s="5" t="s">
        <v>21</v>
      </c>
      <c r="B31" s="5">
        <v>24</v>
      </c>
      <c r="C31" s="5">
        <v>29</v>
      </c>
      <c r="D31" s="5">
        <v>31</v>
      </c>
      <c r="E31" s="5">
        <v>20</v>
      </c>
      <c r="F31" s="5">
        <v>27</v>
      </c>
      <c r="G31" s="5">
        <v>45</v>
      </c>
      <c r="H31" s="6">
        <f t="shared" ref="H31:H36" si="6">SUM(B31:G31)</f>
        <v>176</v>
      </c>
    </row>
    <row r="32" spans="1:8" x14ac:dyDescent="0.25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33</v>
      </c>
      <c r="C33" s="5">
        <v>42</v>
      </c>
      <c r="D33" s="5">
        <v>44</v>
      </c>
      <c r="E33" s="5">
        <v>34</v>
      </c>
      <c r="F33" s="5">
        <v>42</v>
      </c>
      <c r="G33" s="5">
        <v>0</v>
      </c>
      <c r="H33" s="6">
        <f t="shared" si="6"/>
        <v>195</v>
      </c>
    </row>
    <row r="34" spans="1:8" x14ac:dyDescent="0.25">
      <c r="A34" s="7" t="s">
        <v>15</v>
      </c>
      <c r="B34" s="7">
        <f t="shared" ref="B34:G34" si="7">SUM(B30:B33)</f>
        <v>78</v>
      </c>
      <c r="C34" s="7">
        <f t="shared" si="7"/>
        <v>91</v>
      </c>
      <c r="D34" s="7">
        <f t="shared" si="7"/>
        <v>96</v>
      </c>
      <c r="E34" s="7">
        <f t="shared" si="7"/>
        <v>76</v>
      </c>
      <c r="F34" s="7">
        <f t="shared" si="7"/>
        <v>89</v>
      </c>
      <c r="G34" s="7">
        <f t="shared" si="7"/>
        <v>45</v>
      </c>
      <c r="H34" s="6">
        <f t="shared" si="6"/>
        <v>475</v>
      </c>
    </row>
    <row r="35" spans="1:8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28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62"/>
  <sheetViews>
    <sheetView topLeftCell="A42" workbookViewId="0">
      <selection activeCell="J57" sqref="J57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45747</v>
      </c>
      <c r="C2" s="4">
        <v>45748</v>
      </c>
      <c r="D2" s="4">
        <v>45749</v>
      </c>
      <c r="E2" s="4">
        <v>45750</v>
      </c>
      <c r="F2" s="4">
        <v>45751</v>
      </c>
      <c r="G2" s="4">
        <v>45752</v>
      </c>
      <c r="H2" s="4">
        <v>45753</v>
      </c>
      <c r="I2" s="2" t="s">
        <v>8</v>
      </c>
    </row>
    <row r="3" spans="1:11" x14ac:dyDescent="0.25">
      <c r="A3" s="5" t="s">
        <v>9</v>
      </c>
      <c r="B3" s="5">
        <v>82</v>
      </c>
      <c r="C3" s="5">
        <v>95</v>
      </c>
      <c r="D3" s="5">
        <v>93</v>
      </c>
      <c r="E3" s="5">
        <v>98</v>
      </c>
      <c r="F3" s="5">
        <v>92</v>
      </c>
      <c r="G3" s="5">
        <v>43</v>
      </c>
      <c r="H3" s="5">
        <v>0</v>
      </c>
      <c r="I3" s="6">
        <f t="shared" ref="I3:I11" si="0">SUM(B3:H3)</f>
        <v>503</v>
      </c>
    </row>
    <row r="4" spans="1:11" x14ac:dyDescent="0.25">
      <c r="A4" s="5" t="s">
        <v>10</v>
      </c>
      <c r="B4" s="5">
        <v>60</v>
      </c>
      <c r="C4" s="5">
        <v>52</v>
      </c>
      <c r="D4" s="5">
        <v>56</v>
      </c>
      <c r="E4" s="5">
        <v>38</v>
      </c>
      <c r="F4" s="5">
        <v>55</v>
      </c>
      <c r="G4" s="5">
        <v>18</v>
      </c>
      <c r="H4" s="5">
        <v>7</v>
      </c>
      <c r="I4" s="6">
        <f t="shared" si="0"/>
        <v>286</v>
      </c>
    </row>
    <row r="5" spans="1:11" x14ac:dyDescent="0.25">
      <c r="A5" s="5" t="s">
        <v>11</v>
      </c>
      <c r="B5" s="5">
        <v>11</v>
      </c>
      <c r="C5" s="5">
        <v>6</v>
      </c>
      <c r="D5" s="5">
        <v>16</v>
      </c>
      <c r="E5" s="5">
        <v>0</v>
      </c>
      <c r="F5" s="5">
        <v>6</v>
      </c>
      <c r="G5" s="5">
        <v>0</v>
      </c>
      <c r="H5" s="5">
        <v>0</v>
      </c>
      <c r="I5" s="6">
        <f t="shared" si="0"/>
        <v>39</v>
      </c>
    </row>
    <row r="6" spans="1:11" x14ac:dyDescent="0.25">
      <c r="A6" s="5" t="s">
        <v>12</v>
      </c>
      <c r="B6" s="5">
        <v>7</v>
      </c>
      <c r="C6" s="5">
        <v>8</v>
      </c>
      <c r="D6" s="5">
        <v>6</v>
      </c>
      <c r="E6" s="5">
        <v>0</v>
      </c>
      <c r="F6" s="5">
        <v>8</v>
      </c>
      <c r="G6" s="5">
        <v>0</v>
      </c>
      <c r="H6" s="5">
        <v>0</v>
      </c>
      <c r="I6" s="6">
        <f t="shared" si="0"/>
        <v>29</v>
      </c>
    </row>
    <row r="7" spans="1:11" x14ac:dyDescent="0.25">
      <c r="A7" s="5" t="s">
        <v>13</v>
      </c>
      <c r="B7" s="5">
        <v>3</v>
      </c>
      <c r="C7" s="5">
        <v>3</v>
      </c>
      <c r="D7" s="5">
        <v>0</v>
      </c>
      <c r="E7" s="5">
        <v>2</v>
      </c>
      <c r="F7" s="5">
        <v>0</v>
      </c>
      <c r="G7" s="5">
        <v>1</v>
      </c>
      <c r="H7" s="5">
        <v>0</v>
      </c>
      <c r="I7" s="6">
        <f t="shared" si="0"/>
        <v>9</v>
      </c>
    </row>
    <row r="8" spans="1:11" x14ac:dyDescent="0.25">
      <c r="A8" s="5" t="s">
        <v>14</v>
      </c>
      <c r="B8" s="5">
        <v>3</v>
      </c>
      <c r="C8" s="5">
        <v>0</v>
      </c>
      <c r="D8" s="5">
        <v>1</v>
      </c>
      <c r="E8" s="5">
        <v>0</v>
      </c>
      <c r="F8" s="5">
        <v>3</v>
      </c>
      <c r="G8" s="5">
        <v>0</v>
      </c>
      <c r="H8" s="5">
        <v>0</v>
      </c>
      <c r="I8" s="6">
        <f t="shared" si="0"/>
        <v>7</v>
      </c>
    </row>
    <row r="9" spans="1:11" x14ac:dyDescent="0.25">
      <c r="A9" s="7" t="s">
        <v>15</v>
      </c>
      <c r="B9" s="7">
        <f t="shared" ref="B9:H9" si="1">SUM(B3:B8)</f>
        <v>166</v>
      </c>
      <c r="C9" s="7">
        <f t="shared" si="1"/>
        <v>164</v>
      </c>
      <c r="D9" s="7">
        <f t="shared" si="1"/>
        <v>172</v>
      </c>
      <c r="E9" s="7">
        <f t="shared" si="1"/>
        <v>138</v>
      </c>
      <c r="F9" s="7">
        <f t="shared" si="1"/>
        <v>164</v>
      </c>
      <c r="G9" s="7">
        <f t="shared" si="1"/>
        <v>62</v>
      </c>
      <c r="H9" s="7">
        <f t="shared" si="1"/>
        <v>7</v>
      </c>
      <c r="I9" s="6">
        <f t="shared" si="0"/>
        <v>873</v>
      </c>
      <c r="J9" s="1"/>
      <c r="K9" s="1"/>
    </row>
    <row r="10" spans="1:11" x14ac:dyDescent="0.25">
      <c r="A10" s="5" t="s">
        <v>29</v>
      </c>
      <c r="B10" s="5">
        <v>0</v>
      </c>
      <c r="C10" s="5">
        <v>0</v>
      </c>
      <c r="D10" s="5">
        <v>3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3</v>
      </c>
    </row>
    <row r="11" spans="1:11" x14ac:dyDescent="0.25">
      <c r="A11" s="5" t="s">
        <v>30</v>
      </c>
      <c r="B11" s="5">
        <v>0</v>
      </c>
      <c r="C11" s="5">
        <v>0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6">
        <f t="shared" si="0"/>
        <v>2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45754</v>
      </c>
      <c r="C15" s="4">
        <v>45755</v>
      </c>
      <c r="D15" s="4">
        <v>45756</v>
      </c>
      <c r="E15" s="4">
        <v>45757</v>
      </c>
      <c r="F15" s="4">
        <v>45758</v>
      </c>
      <c r="G15" s="4">
        <v>45759</v>
      </c>
      <c r="H15" s="4">
        <v>45760</v>
      </c>
      <c r="I15" s="2" t="s">
        <v>8</v>
      </c>
    </row>
    <row r="16" spans="1:11" x14ac:dyDescent="0.25">
      <c r="A16" s="5" t="s">
        <v>9</v>
      </c>
      <c r="B16" s="5">
        <v>94</v>
      </c>
      <c r="C16" s="5">
        <v>101</v>
      </c>
      <c r="D16" s="5">
        <v>84</v>
      </c>
      <c r="E16" s="5">
        <v>77</v>
      </c>
      <c r="F16" s="5">
        <v>89</v>
      </c>
      <c r="G16" s="5">
        <v>37</v>
      </c>
      <c r="H16" s="5">
        <v>0</v>
      </c>
      <c r="I16" s="6">
        <f>SUM(B16:H16)</f>
        <v>482</v>
      </c>
    </row>
    <row r="17" spans="1:11" x14ac:dyDescent="0.25">
      <c r="A17" s="5" t="s">
        <v>10</v>
      </c>
      <c r="B17" s="5">
        <v>55</v>
      </c>
      <c r="C17" s="5">
        <v>57</v>
      </c>
      <c r="D17" s="5">
        <v>61</v>
      </c>
      <c r="E17" s="5">
        <v>39</v>
      </c>
      <c r="F17" s="5">
        <v>59</v>
      </c>
      <c r="G17" s="5">
        <v>22</v>
      </c>
      <c r="H17" s="5">
        <v>0</v>
      </c>
      <c r="I17" s="6">
        <f t="shared" ref="I17:I21" si="2">SUM(B17:H17)</f>
        <v>293</v>
      </c>
    </row>
    <row r="18" spans="1:11" x14ac:dyDescent="0.25">
      <c r="A18" s="5" t="s">
        <v>11</v>
      </c>
      <c r="B18" s="5">
        <v>15</v>
      </c>
      <c r="C18" s="5">
        <v>18</v>
      </c>
      <c r="D18" s="5">
        <v>9</v>
      </c>
      <c r="E18" s="5">
        <v>0</v>
      </c>
      <c r="F18" s="5">
        <v>1</v>
      </c>
      <c r="G18" s="5">
        <v>0</v>
      </c>
      <c r="H18" s="5">
        <v>0</v>
      </c>
      <c r="I18" s="6">
        <f t="shared" si="2"/>
        <v>43</v>
      </c>
    </row>
    <row r="19" spans="1:11" x14ac:dyDescent="0.25">
      <c r="A19" s="5" t="s">
        <v>12</v>
      </c>
      <c r="B19" s="5">
        <v>3</v>
      </c>
      <c r="C19" s="5">
        <v>5</v>
      </c>
      <c r="D19" s="5">
        <v>6</v>
      </c>
      <c r="E19" s="5">
        <v>0</v>
      </c>
      <c r="F19" s="5">
        <v>7</v>
      </c>
      <c r="G19" s="5">
        <v>0</v>
      </c>
      <c r="H19" s="5">
        <v>0</v>
      </c>
      <c r="I19" s="6">
        <f t="shared" si="2"/>
        <v>21</v>
      </c>
    </row>
    <row r="20" spans="1:11" x14ac:dyDescent="0.25">
      <c r="A20" s="5" t="s">
        <v>13</v>
      </c>
      <c r="B20" s="5">
        <v>4</v>
      </c>
      <c r="C20" s="5">
        <v>1</v>
      </c>
      <c r="D20" s="5">
        <v>0</v>
      </c>
      <c r="E20" s="5">
        <v>1</v>
      </c>
      <c r="F20" s="5">
        <v>1</v>
      </c>
      <c r="G20" s="5">
        <v>0</v>
      </c>
      <c r="H20" s="5">
        <v>0</v>
      </c>
      <c r="I20" s="6">
        <f t="shared" si="2"/>
        <v>7</v>
      </c>
    </row>
    <row r="21" spans="1:11" x14ac:dyDescent="0.25">
      <c r="A21" s="5" t="s">
        <v>14</v>
      </c>
      <c r="B21" s="5">
        <v>1</v>
      </c>
      <c r="C21" s="5">
        <v>1</v>
      </c>
      <c r="D21" s="5">
        <v>4</v>
      </c>
      <c r="E21" s="5">
        <v>0</v>
      </c>
      <c r="F21" s="5">
        <v>4</v>
      </c>
      <c r="G21" s="5">
        <v>0</v>
      </c>
      <c r="H21" s="5">
        <v>0</v>
      </c>
      <c r="I21" s="6">
        <f t="shared" si="2"/>
        <v>10</v>
      </c>
    </row>
    <row r="22" spans="1:11" x14ac:dyDescent="0.25">
      <c r="A22" s="7" t="s">
        <v>15</v>
      </c>
      <c r="B22" s="7">
        <f t="shared" ref="B22:G22" si="3">SUM(B16:B21)</f>
        <v>172</v>
      </c>
      <c r="C22" s="7">
        <f t="shared" si="3"/>
        <v>183</v>
      </c>
      <c r="D22" s="7">
        <f t="shared" si="3"/>
        <v>164</v>
      </c>
      <c r="E22" s="7">
        <f t="shared" si="3"/>
        <v>117</v>
      </c>
      <c r="F22" s="7">
        <f t="shared" si="3"/>
        <v>161</v>
      </c>
      <c r="G22" s="7">
        <f t="shared" si="3"/>
        <v>59</v>
      </c>
      <c r="H22" s="7">
        <f>SUM(H16:H21)</f>
        <v>0</v>
      </c>
      <c r="I22" s="6">
        <f>SUM(B22:H22)</f>
        <v>856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45761</v>
      </c>
      <c r="C28" s="4">
        <v>45762</v>
      </c>
      <c r="D28" s="4">
        <v>45763</v>
      </c>
      <c r="E28" s="4">
        <v>45764</v>
      </c>
      <c r="F28" s="4">
        <v>45765</v>
      </c>
      <c r="G28" s="4">
        <v>45766</v>
      </c>
      <c r="H28" s="4">
        <v>45767</v>
      </c>
      <c r="I28" s="2" t="s">
        <v>8</v>
      </c>
    </row>
    <row r="29" spans="1:11" x14ac:dyDescent="0.25">
      <c r="A29" s="5" t="s">
        <v>9</v>
      </c>
      <c r="B29" s="5">
        <v>76</v>
      </c>
      <c r="C29" s="5">
        <v>77</v>
      </c>
      <c r="D29" s="5">
        <v>73</v>
      </c>
      <c r="E29" s="5">
        <v>64</v>
      </c>
      <c r="F29" s="5">
        <v>81</v>
      </c>
      <c r="G29" s="5">
        <v>38</v>
      </c>
      <c r="H29" s="5">
        <v>0</v>
      </c>
      <c r="I29" s="6">
        <f t="shared" ref="I29:I37" si="4">SUM(B29:H29)</f>
        <v>409</v>
      </c>
    </row>
    <row r="30" spans="1:11" x14ac:dyDescent="0.25">
      <c r="A30" s="5" t="s">
        <v>10</v>
      </c>
      <c r="B30" s="5">
        <v>60</v>
      </c>
      <c r="C30" s="5">
        <v>48</v>
      </c>
      <c r="D30" s="5">
        <v>48</v>
      </c>
      <c r="E30" s="5">
        <v>21</v>
      </c>
      <c r="F30" s="5">
        <v>52</v>
      </c>
      <c r="G30" s="5">
        <v>16</v>
      </c>
      <c r="H30" s="5">
        <v>0</v>
      </c>
      <c r="I30" s="6">
        <f t="shared" si="4"/>
        <v>245</v>
      </c>
    </row>
    <row r="31" spans="1:11" x14ac:dyDescent="0.25">
      <c r="A31" s="5" t="s">
        <v>11</v>
      </c>
      <c r="B31" s="5">
        <v>17</v>
      </c>
      <c r="C31" s="5">
        <v>13</v>
      </c>
      <c r="D31" s="5">
        <v>12</v>
      </c>
      <c r="E31" s="5">
        <v>1</v>
      </c>
      <c r="F31" s="5">
        <v>15</v>
      </c>
      <c r="G31" s="5">
        <v>0</v>
      </c>
      <c r="H31" s="5">
        <v>0</v>
      </c>
      <c r="I31" s="6">
        <f t="shared" si="4"/>
        <v>58</v>
      </c>
    </row>
    <row r="32" spans="1:11" x14ac:dyDescent="0.25">
      <c r="A32" s="5" t="s">
        <v>12</v>
      </c>
      <c r="B32" s="5">
        <v>6</v>
      </c>
      <c r="C32" s="5">
        <v>7</v>
      </c>
      <c r="D32" s="5">
        <v>7</v>
      </c>
      <c r="E32" s="5">
        <v>0</v>
      </c>
      <c r="F32" s="5">
        <v>4</v>
      </c>
      <c r="G32" s="5">
        <v>0</v>
      </c>
      <c r="H32" s="5">
        <v>0</v>
      </c>
      <c r="I32" s="6">
        <f t="shared" si="4"/>
        <v>24</v>
      </c>
    </row>
    <row r="33" spans="1:11" x14ac:dyDescent="0.25">
      <c r="A33" s="5" t="s">
        <v>13</v>
      </c>
      <c r="B33" s="5">
        <v>2</v>
      </c>
      <c r="C33" s="5">
        <v>2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6">
        <f t="shared" si="4"/>
        <v>5</v>
      </c>
    </row>
    <row r="34" spans="1:11" x14ac:dyDescent="0.25">
      <c r="A34" s="5" t="s">
        <v>14</v>
      </c>
      <c r="B34" s="5">
        <v>1</v>
      </c>
      <c r="C34" s="5">
        <v>0</v>
      </c>
      <c r="D34" s="5">
        <v>0</v>
      </c>
      <c r="E34" s="5">
        <v>0</v>
      </c>
      <c r="F34" s="5">
        <v>1</v>
      </c>
      <c r="G34" s="5">
        <v>0</v>
      </c>
      <c r="H34" s="5">
        <v>0</v>
      </c>
      <c r="I34" s="6">
        <f t="shared" si="4"/>
        <v>2</v>
      </c>
    </row>
    <row r="35" spans="1:11" x14ac:dyDescent="0.25">
      <c r="A35" s="7" t="s">
        <v>15</v>
      </c>
      <c r="B35" s="7">
        <f t="shared" ref="B35:H35" si="5">SUM(B29:B34)</f>
        <v>162</v>
      </c>
      <c r="C35" s="7">
        <f t="shared" si="5"/>
        <v>147</v>
      </c>
      <c r="D35" s="7">
        <f t="shared" si="5"/>
        <v>140</v>
      </c>
      <c r="E35" s="7">
        <f t="shared" si="5"/>
        <v>86</v>
      </c>
      <c r="F35" s="7">
        <f t="shared" si="5"/>
        <v>154</v>
      </c>
      <c r="G35" s="7">
        <f t="shared" si="5"/>
        <v>54</v>
      </c>
      <c r="H35" s="7">
        <f t="shared" si="5"/>
        <v>0</v>
      </c>
      <c r="I35" s="6">
        <f t="shared" si="4"/>
        <v>743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45768</v>
      </c>
      <c r="C41" s="4">
        <v>45769</v>
      </c>
      <c r="D41" s="4">
        <v>45770</v>
      </c>
      <c r="E41" s="4">
        <v>45771</v>
      </c>
      <c r="F41" s="4">
        <v>45772</v>
      </c>
      <c r="G41" s="4">
        <v>45773</v>
      </c>
      <c r="H41" s="4">
        <v>45774</v>
      </c>
      <c r="I41" s="2" t="s">
        <v>8</v>
      </c>
    </row>
    <row r="42" spans="1:11" x14ac:dyDescent="0.25">
      <c r="A42" s="5" t="s">
        <v>9</v>
      </c>
      <c r="B42" s="5">
        <v>95</v>
      </c>
      <c r="C42" s="5">
        <v>97</v>
      </c>
      <c r="D42" s="5">
        <v>95</v>
      </c>
      <c r="E42" s="5">
        <v>82</v>
      </c>
      <c r="F42" s="5">
        <v>81</v>
      </c>
      <c r="G42" s="5">
        <v>43</v>
      </c>
      <c r="H42" s="5">
        <v>0</v>
      </c>
      <c r="I42" s="6">
        <f t="shared" ref="I42:I50" si="6">SUM(B42:H42)</f>
        <v>493</v>
      </c>
    </row>
    <row r="43" spans="1:11" x14ac:dyDescent="0.25">
      <c r="A43" s="5" t="s">
        <v>10</v>
      </c>
      <c r="B43" s="5">
        <v>67</v>
      </c>
      <c r="C43" s="5">
        <v>54</v>
      </c>
      <c r="D43" s="5">
        <v>61</v>
      </c>
      <c r="E43" s="5">
        <v>37</v>
      </c>
      <c r="F43" s="5">
        <v>54</v>
      </c>
      <c r="G43" s="5">
        <v>15</v>
      </c>
      <c r="H43" s="5">
        <v>0</v>
      </c>
      <c r="I43" s="6">
        <f t="shared" si="6"/>
        <v>288</v>
      </c>
    </row>
    <row r="44" spans="1:11" x14ac:dyDescent="0.25">
      <c r="A44" s="5" t="s">
        <v>11</v>
      </c>
      <c r="B44" s="5">
        <v>18</v>
      </c>
      <c r="C44" s="5">
        <v>9</v>
      </c>
      <c r="D44" s="5">
        <v>7</v>
      </c>
      <c r="E44" s="5">
        <v>2</v>
      </c>
      <c r="F44" s="5">
        <v>14</v>
      </c>
      <c r="G44" s="5">
        <v>0</v>
      </c>
      <c r="H44" s="5">
        <v>0</v>
      </c>
      <c r="I44" s="6">
        <f t="shared" si="6"/>
        <v>50</v>
      </c>
    </row>
    <row r="45" spans="1:11" x14ac:dyDescent="0.25">
      <c r="A45" s="5" t="s">
        <v>12</v>
      </c>
      <c r="B45" s="5">
        <v>6</v>
      </c>
      <c r="C45" s="5">
        <v>4</v>
      </c>
      <c r="D45" s="5">
        <v>5</v>
      </c>
      <c r="E45" s="5">
        <v>0</v>
      </c>
      <c r="F45" s="5">
        <v>9</v>
      </c>
      <c r="G45" s="5">
        <v>0</v>
      </c>
      <c r="H45" s="5">
        <v>0</v>
      </c>
      <c r="I45" s="6">
        <f t="shared" si="6"/>
        <v>24</v>
      </c>
    </row>
    <row r="46" spans="1:11" x14ac:dyDescent="0.25">
      <c r="A46" s="5" t="s">
        <v>13</v>
      </c>
      <c r="B46" s="5">
        <v>0</v>
      </c>
      <c r="C46" s="5">
        <v>0</v>
      </c>
      <c r="D46" s="5">
        <v>2</v>
      </c>
      <c r="E46" s="5">
        <v>1</v>
      </c>
      <c r="F46" s="5">
        <v>2</v>
      </c>
      <c r="G46" s="5">
        <v>0</v>
      </c>
      <c r="H46" s="5">
        <v>0</v>
      </c>
      <c r="I46" s="6">
        <f t="shared" si="6"/>
        <v>5</v>
      </c>
    </row>
    <row r="47" spans="1:11" x14ac:dyDescent="0.25">
      <c r="A47" s="5" t="s">
        <v>14</v>
      </c>
      <c r="B47" s="5">
        <v>1</v>
      </c>
      <c r="C47" s="5">
        <v>1</v>
      </c>
      <c r="D47" s="5">
        <v>4</v>
      </c>
      <c r="E47" s="5">
        <v>2</v>
      </c>
      <c r="F47" s="5">
        <v>3</v>
      </c>
      <c r="G47" s="5">
        <v>0</v>
      </c>
      <c r="H47" s="5">
        <v>0</v>
      </c>
      <c r="I47" s="6">
        <f t="shared" si="6"/>
        <v>11</v>
      </c>
    </row>
    <row r="48" spans="1:11" x14ac:dyDescent="0.25">
      <c r="A48" s="7" t="s">
        <v>15</v>
      </c>
      <c r="B48" s="7">
        <f>SUM(B42:B47)</f>
        <v>187</v>
      </c>
      <c r="C48" s="7">
        <f t="shared" ref="C48:H48" si="7">SUM(C42:C47)</f>
        <v>165</v>
      </c>
      <c r="D48" s="7">
        <f t="shared" si="7"/>
        <v>174</v>
      </c>
      <c r="E48" s="7">
        <f t="shared" si="7"/>
        <v>124</v>
      </c>
      <c r="F48" s="7">
        <f t="shared" si="7"/>
        <v>163</v>
      </c>
      <c r="G48" s="7">
        <f t="shared" si="7"/>
        <v>58</v>
      </c>
      <c r="H48" s="7">
        <f t="shared" si="7"/>
        <v>0</v>
      </c>
      <c r="I48" s="6">
        <f t="shared" si="6"/>
        <v>871</v>
      </c>
      <c r="J48" s="1"/>
      <c r="K48" s="1"/>
    </row>
    <row r="49" spans="1:11" x14ac:dyDescent="0.25">
      <c r="A49" s="5" t="s">
        <v>32</v>
      </c>
      <c r="B49" s="5">
        <v>2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4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45775</v>
      </c>
      <c r="C53" s="4">
        <v>45776</v>
      </c>
      <c r="D53" s="4">
        <v>45777</v>
      </c>
      <c r="E53" s="4">
        <v>45778</v>
      </c>
      <c r="F53" s="4">
        <v>45779</v>
      </c>
      <c r="G53" s="4">
        <v>45780</v>
      </c>
      <c r="H53" s="4">
        <v>45781</v>
      </c>
      <c r="I53" s="2" t="s">
        <v>8</v>
      </c>
    </row>
    <row r="54" spans="1:11" x14ac:dyDescent="0.25">
      <c r="A54" s="5" t="s">
        <v>9</v>
      </c>
      <c r="B54" s="5">
        <f>'April Provier Totals '!B43</f>
        <v>98</v>
      </c>
      <c r="C54" s="5">
        <f>'April Provier Totals '!C43</f>
        <v>96</v>
      </c>
      <c r="D54" s="5">
        <v>94</v>
      </c>
      <c r="E54" s="5">
        <v>89</v>
      </c>
      <c r="F54" s="5">
        <f>'April Provier Totals '!F43</f>
        <v>98</v>
      </c>
      <c r="G54" s="5">
        <f>'April Provier Totals '!G43</f>
        <v>40</v>
      </c>
      <c r="H54" s="5">
        <v>0</v>
      </c>
      <c r="I54" s="6">
        <f t="shared" ref="I54:I62" si="8">SUM(B54:H54)</f>
        <v>515</v>
      </c>
    </row>
    <row r="55" spans="1:11" x14ac:dyDescent="0.25">
      <c r="A55" s="5" t="s">
        <v>10</v>
      </c>
      <c r="B55" s="5">
        <v>70</v>
      </c>
      <c r="C55" s="5">
        <v>52</v>
      </c>
      <c r="D55" s="5">
        <v>53</v>
      </c>
      <c r="E55" s="5">
        <v>40</v>
      </c>
      <c r="F55" s="5">
        <v>65</v>
      </c>
      <c r="G55" s="5">
        <v>10</v>
      </c>
      <c r="H55" s="5">
        <v>4</v>
      </c>
      <c r="I55" s="6">
        <f t="shared" si="8"/>
        <v>294</v>
      </c>
    </row>
    <row r="56" spans="1:11" x14ac:dyDescent="0.25">
      <c r="A56" s="5" t="s">
        <v>11</v>
      </c>
      <c r="B56" s="5">
        <v>10</v>
      </c>
      <c r="C56" s="5">
        <v>10</v>
      </c>
      <c r="D56" s="5">
        <v>8</v>
      </c>
      <c r="E56" s="5">
        <v>0</v>
      </c>
      <c r="F56" s="5">
        <v>10</v>
      </c>
      <c r="G56" s="5">
        <v>0</v>
      </c>
      <c r="H56" s="5">
        <v>0</v>
      </c>
      <c r="I56" s="6">
        <f t="shared" si="8"/>
        <v>38</v>
      </c>
    </row>
    <row r="57" spans="1:11" x14ac:dyDescent="0.25">
      <c r="A57" s="5" t="s">
        <v>12</v>
      </c>
      <c r="B57" s="5">
        <v>4</v>
      </c>
      <c r="C57" s="5">
        <v>7</v>
      </c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6">
        <f t="shared" si="8"/>
        <v>15</v>
      </c>
    </row>
    <row r="58" spans="1:11" x14ac:dyDescent="0.25">
      <c r="A58" s="5" t="s">
        <v>13</v>
      </c>
      <c r="B58" s="5">
        <v>0</v>
      </c>
      <c r="C58" s="5">
        <v>3</v>
      </c>
      <c r="D58" s="5">
        <v>1</v>
      </c>
      <c r="E58" s="5">
        <v>0</v>
      </c>
      <c r="F58" s="5">
        <v>2</v>
      </c>
      <c r="G58" s="5">
        <v>0</v>
      </c>
      <c r="H58" s="5">
        <v>0</v>
      </c>
      <c r="I58" s="6">
        <f t="shared" si="8"/>
        <v>6</v>
      </c>
    </row>
    <row r="59" spans="1:11" x14ac:dyDescent="0.25">
      <c r="A59" s="5" t="s">
        <v>14</v>
      </c>
      <c r="B59" s="5">
        <v>2</v>
      </c>
      <c r="C59" s="5">
        <v>0</v>
      </c>
      <c r="D59" s="5">
        <v>4</v>
      </c>
      <c r="E59" s="5">
        <v>0</v>
      </c>
      <c r="F59" s="5">
        <v>3</v>
      </c>
      <c r="G59" s="5">
        <v>0</v>
      </c>
      <c r="H59" s="5">
        <v>0</v>
      </c>
      <c r="I59" s="6">
        <f t="shared" si="8"/>
        <v>9</v>
      </c>
    </row>
    <row r="60" spans="1:11" x14ac:dyDescent="0.25">
      <c r="A60" s="7" t="s">
        <v>15</v>
      </c>
      <c r="B60" s="7">
        <f t="shared" ref="B60:H60" si="9">SUM(B54:B59)</f>
        <v>184</v>
      </c>
      <c r="C60" s="7">
        <f t="shared" si="9"/>
        <v>168</v>
      </c>
      <c r="D60" s="7">
        <v>164</v>
      </c>
      <c r="E60" s="7">
        <f t="shared" si="9"/>
        <v>129</v>
      </c>
      <c r="F60" s="7">
        <f t="shared" si="9"/>
        <v>178</v>
      </c>
      <c r="G60" s="7">
        <f t="shared" si="9"/>
        <v>50</v>
      </c>
      <c r="H60" s="7">
        <f t="shared" si="9"/>
        <v>4</v>
      </c>
      <c r="I60" s="6">
        <f t="shared" si="8"/>
        <v>877</v>
      </c>
      <c r="J60" s="1"/>
      <c r="K60" s="1"/>
    </row>
    <row r="61" spans="1:11" x14ac:dyDescent="0.25">
      <c r="A61" s="5" t="s">
        <v>27</v>
      </c>
      <c r="B61" s="5">
        <v>0</v>
      </c>
      <c r="C61" s="5">
        <v>0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2</v>
      </c>
      <c r="K61">
        <f>I60+I48+I35+I22+I9</f>
        <v>4220</v>
      </c>
    </row>
    <row r="62" spans="1:11" x14ac:dyDescent="0.25">
      <c r="A62" s="5" t="s">
        <v>30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5"/>
  <sheetViews>
    <sheetView topLeftCell="A29" workbookViewId="0">
      <selection activeCell="G44" sqref="G44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45747</v>
      </c>
      <c r="C2" s="4">
        <v>45748</v>
      </c>
      <c r="D2" s="4">
        <v>45749</v>
      </c>
      <c r="E2" s="4">
        <v>45750</v>
      </c>
      <c r="F2" s="4">
        <v>45751</v>
      </c>
      <c r="G2" s="4">
        <v>45752</v>
      </c>
      <c r="H2" s="3" t="s">
        <v>19</v>
      </c>
    </row>
    <row r="3" spans="1:8" x14ac:dyDescent="0.25">
      <c r="A3" s="5" t="s">
        <v>20</v>
      </c>
      <c r="B3" s="5">
        <v>22</v>
      </c>
      <c r="C3" s="5">
        <v>20</v>
      </c>
      <c r="D3" s="5">
        <v>18</v>
      </c>
      <c r="E3" s="5">
        <v>23</v>
      </c>
      <c r="F3" s="5">
        <v>20</v>
      </c>
      <c r="G3" s="5">
        <v>43</v>
      </c>
      <c r="H3" s="6">
        <f t="shared" ref="H3:H9" si="0">SUM(B3:G3)</f>
        <v>146</v>
      </c>
    </row>
    <row r="4" spans="1:8" x14ac:dyDescent="0.25">
      <c r="A4" s="5" t="s">
        <v>21</v>
      </c>
      <c r="B4" s="5">
        <v>28</v>
      </c>
      <c r="C4" s="5">
        <v>31</v>
      </c>
      <c r="D4" s="5">
        <v>28</v>
      </c>
      <c r="E4" s="5">
        <v>29</v>
      </c>
      <c r="F4" s="5">
        <v>32</v>
      </c>
      <c r="G4" s="5">
        <v>0</v>
      </c>
      <c r="H4" s="6">
        <f t="shared" si="0"/>
        <v>148</v>
      </c>
    </row>
    <row r="5" spans="1:8" x14ac:dyDescent="0.25">
      <c r="A5" s="5" t="s">
        <v>29</v>
      </c>
      <c r="B5" s="5">
        <v>0</v>
      </c>
      <c r="C5" s="5">
        <v>0</v>
      </c>
      <c r="D5" s="5">
        <v>4</v>
      </c>
      <c r="E5" s="5">
        <v>0</v>
      </c>
      <c r="F5" s="5">
        <v>0</v>
      </c>
      <c r="G5" s="5">
        <v>0</v>
      </c>
      <c r="H5" s="6">
        <f t="shared" si="0"/>
        <v>4</v>
      </c>
    </row>
    <row r="6" spans="1:8" x14ac:dyDescent="0.25">
      <c r="A6" s="5" t="s">
        <v>23</v>
      </c>
      <c r="B6" s="5">
        <v>32</v>
      </c>
      <c r="C6" s="5">
        <v>44</v>
      </c>
      <c r="D6" s="5">
        <v>43</v>
      </c>
      <c r="E6" s="5">
        <v>39</v>
      </c>
      <c r="F6" s="5">
        <v>40</v>
      </c>
      <c r="G6" s="5">
        <v>0</v>
      </c>
      <c r="H6" s="6">
        <f t="shared" si="0"/>
        <v>198</v>
      </c>
    </row>
    <row r="7" spans="1:8" x14ac:dyDescent="0.25">
      <c r="A7" s="7" t="s">
        <v>15</v>
      </c>
      <c r="B7" s="7">
        <f t="shared" ref="B7:G7" si="1">SUM(B3:B6)</f>
        <v>82</v>
      </c>
      <c r="C7" s="7">
        <f t="shared" si="1"/>
        <v>95</v>
      </c>
      <c r="D7" s="7">
        <f t="shared" si="1"/>
        <v>93</v>
      </c>
      <c r="E7" s="7">
        <f t="shared" si="1"/>
        <v>91</v>
      </c>
      <c r="F7" s="7">
        <f t="shared" si="1"/>
        <v>92</v>
      </c>
      <c r="G7" s="7">
        <f t="shared" si="1"/>
        <v>43</v>
      </c>
      <c r="H7" s="6">
        <f t="shared" si="0"/>
        <v>496</v>
      </c>
    </row>
    <row r="8" spans="1:8" x14ac:dyDescent="0.25">
      <c r="A8" s="5" t="s">
        <v>31</v>
      </c>
      <c r="B8" s="5"/>
      <c r="C8" s="5"/>
      <c r="D8" s="5"/>
      <c r="E8" s="5">
        <v>3</v>
      </c>
      <c r="F8" s="5"/>
      <c r="G8" s="5"/>
      <c r="H8" s="6">
        <f t="shared" si="0"/>
        <v>3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45754</v>
      </c>
      <c r="C11" s="4">
        <v>45755</v>
      </c>
      <c r="D11" s="4">
        <v>45756</v>
      </c>
      <c r="E11" s="4">
        <v>45757</v>
      </c>
      <c r="F11" s="4">
        <v>45758</v>
      </c>
      <c r="G11" s="4">
        <v>45759</v>
      </c>
      <c r="H11" s="3" t="s">
        <v>19</v>
      </c>
    </row>
    <row r="12" spans="1:8" x14ac:dyDescent="0.25">
      <c r="A12" s="5" t="s">
        <v>20</v>
      </c>
      <c r="B12" s="5">
        <v>28</v>
      </c>
      <c r="C12" s="5">
        <v>22</v>
      </c>
      <c r="D12" s="5">
        <v>21</v>
      </c>
      <c r="E12" s="5">
        <v>21</v>
      </c>
      <c r="F12" s="5">
        <v>24</v>
      </c>
      <c r="G12" s="5">
        <v>0</v>
      </c>
      <c r="H12" s="6">
        <f t="shared" ref="H12:H18" si="2">SUM(B12:G12)</f>
        <v>116</v>
      </c>
    </row>
    <row r="13" spans="1:8" x14ac:dyDescent="0.25">
      <c r="A13" s="5" t="s">
        <v>21</v>
      </c>
      <c r="B13" s="5">
        <v>31</v>
      </c>
      <c r="C13" s="5">
        <v>36</v>
      </c>
      <c r="D13" s="5">
        <v>24</v>
      </c>
      <c r="E13" s="5">
        <v>24</v>
      </c>
      <c r="F13" s="5">
        <v>29</v>
      </c>
      <c r="G13" s="5">
        <v>37</v>
      </c>
      <c r="H13" s="6">
        <f t="shared" si="2"/>
        <v>181</v>
      </c>
    </row>
    <row r="14" spans="1:8" x14ac:dyDescent="0.25">
      <c r="A14" s="5" t="s">
        <v>33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4</v>
      </c>
    </row>
    <row r="15" spans="1:8" x14ac:dyDescent="0.25">
      <c r="A15" s="5" t="s">
        <v>23</v>
      </c>
      <c r="B15" s="5">
        <v>31</v>
      </c>
      <c r="C15" s="5">
        <v>43</v>
      </c>
      <c r="D15" s="5">
        <v>39</v>
      </c>
      <c r="E15" s="5">
        <v>32</v>
      </c>
      <c r="F15" s="5">
        <v>36</v>
      </c>
      <c r="G15" s="5">
        <v>0</v>
      </c>
      <c r="H15" s="6">
        <f t="shared" si="2"/>
        <v>181</v>
      </c>
    </row>
    <row r="16" spans="1:8" x14ac:dyDescent="0.25">
      <c r="A16" s="7" t="s">
        <v>15</v>
      </c>
      <c r="B16" s="7">
        <f t="shared" ref="B16:G16" si="3">SUM(B12:B15)</f>
        <v>94</v>
      </c>
      <c r="C16" s="7">
        <f t="shared" si="3"/>
        <v>101</v>
      </c>
      <c r="D16" s="7">
        <f t="shared" si="3"/>
        <v>84</v>
      </c>
      <c r="E16" s="7">
        <f>SUM(E12:E15)</f>
        <v>77</v>
      </c>
      <c r="F16" s="7">
        <f t="shared" si="3"/>
        <v>89</v>
      </c>
      <c r="G16" s="7">
        <f t="shared" si="3"/>
        <v>37</v>
      </c>
      <c r="H16" s="6">
        <f t="shared" si="2"/>
        <v>482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45761</v>
      </c>
      <c r="C20" s="4">
        <v>45762</v>
      </c>
      <c r="D20" s="4">
        <v>45763</v>
      </c>
      <c r="E20" s="4">
        <v>45764</v>
      </c>
      <c r="F20" s="4">
        <v>45765</v>
      </c>
      <c r="G20" s="4">
        <v>45766</v>
      </c>
      <c r="H20" s="3" t="s">
        <v>19</v>
      </c>
    </row>
    <row r="21" spans="1:8" x14ac:dyDescent="0.25">
      <c r="A21" s="5" t="s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38</v>
      </c>
      <c r="H21" s="6">
        <f t="shared" ref="H21:H27" si="4">SUM(B21:G21)</f>
        <v>38</v>
      </c>
    </row>
    <row r="22" spans="1:8" x14ac:dyDescent="0.25">
      <c r="A22" s="5" t="s">
        <v>21</v>
      </c>
      <c r="B22" s="5">
        <v>39</v>
      </c>
      <c r="C22" s="5">
        <v>32</v>
      </c>
      <c r="D22" s="5">
        <v>31</v>
      </c>
      <c r="E22" s="5">
        <v>28</v>
      </c>
      <c r="F22" s="5">
        <v>38</v>
      </c>
      <c r="G22" s="5">
        <v>0</v>
      </c>
      <c r="H22" s="6">
        <f t="shared" si="4"/>
        <v>168</v>
      </c>
    </row>
    <row r="23" spans="1:8" x14ac:dyDescent="0.25">
      <c r="A23" s="5" t="s">
        <v>33</v>
      </c>
      <c r="B23" s="5">
        <v>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3</v>
      </c>
    </row>
    <row r="24" spans="1:8" x14ac:dyDescent="0.25">
      <c r="A24" s="5" t="s">
        <v>23</v>
      </c>
      <c r="B24" s="5">
        <v>34</v>
      </c>
      <c r="C24" s="5">
        <v>45</v>
      </c>
      <c r="D24" s="5">
        <v>42</v>
      </c>
      <c r="E24" s="5">
        <v>36</v>
      </c>
      <c r="F24" s="5">
        <v>43</v>
      </c>
      <c r="G24" s="5">
        <v>0</v>
      </c>
      <c r="H24" s="6">
        <f t="shared" si="4"/>
        <v>200</v>
      </c>
    </row>
    <row r="25" spans="1:8" x14ac:dyDescent="0.25">
      <c r="A25" s="7" t="s">
        <v>15</v>
      </c>
      <c r="B25" s="7">
        <f t="shared" ref="B25:G25" si="5">SUM(B21:B24)</f>
        <v>76</v>
      </c>
      <c r="C25" s="7">
        <f t="shared" si="5"/>
        <v>77</v>
      </c>
      <c r="D25" s="7">
        <f t="shared" si="5"/>
        <v>73</v>
      </c>
      <c r="E25" s="7">
        <f>SUM(E21:E24)</f>
        <v>64</v>
      </c>
      <c r="F25" s="7">
        <f t="shared" si="5"/>
        <v>81</v>
      </c>
      <c r="G25" s="7">
        <f t="shared" si="5"/>
        <v>38</v>
      </c>
      <c r="H25" s="6">
        <f t="shared" si="4"/>
        <v>409</v>
      </c>
    </row>
    <row r="26" spans="1:8" x14ac:dyDescent="0.25">
      <c r="A26" s="5" t="s">
        <v>24</v>
      </c>
      <c r="B26" s="5"/>
      <c r="C26" s="5"/>
      <c r="D26" s="5"/>
      <c r="E26" s="5"/>
      <c r="F26" s="5"/>
      <c r="G26" s="5"/>
      <c r="H26" s="6">
        <f t="shared" si="4"/>
        <v>0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45768</v>
      </c>
      <c r="C29" s="4">
        <v>45769</v>
      </c>
      <c r="D29" s="4">
        <v>45770</v>
      </c>
      <c r="E29" s="4">
        <v>45771</v>
      </c>
      <c r="F29" s="4">
        <v>45772</v>
      </c>
      <c r="G29" s="4">
        <v>45773</v>
      </c>
      <c r="H29" s="3" t="s">
        <v>19</v>
      </c>
    </row>
    <row r="30" spans="1:8" x14ac:dyDescent="0.25">
      <c r="A30" s="5" t="s">
        <v>20</v>
      </c>
      <c r="B30" s="5">
        <v>22</v>
      </c>
      <c r="C30" s="5">
        <v>20</v>
      </c>
      <c r="D30" s="5">
        <v>19</v>
      </c>
      <c r="E30" s="5">
        <v>17</v>
      </c>
      <c r="F30" s="5">
        <v>15</v>
      </c>
      <c r="G30" s="5">
        <v>0</v>
      </c>
      <c r="H30" s="6">
        <f>SUM(B30:G30)</f>
        <v>93</v>
      </c>
    </row>
    <row r="31" spans="1:8" x14ac:dyDescent="0.25">
      <c r="A31" s="5" t="s">
        <v>21</v>
      </c>
      <c r="B31" s="5">
        <v>34</v>
      </c>
      <c r="C31" s="5">
        <v>32</v>
      </c>
      <c r="D31" s="5">
        <v>37</v>
      </c>
      <c r="E31" s="5">
        <v>25</v>
      </c>
      <c r="F31" s="5">
        <v>25</v>
      </c>
      <c r="G31" s="5">
        <v>43</v>
      </c>
      <c r="H31" s="6">
        <f t="shared" ref="H31:H36" si="6">SUM(B31:G31)</f>
        <v>196</v>
      </c>
    </row>
    <row r="32" spans="1:8" x14ac:dyDescent="0.25">
      <c r="A32" s="5" t="s">
        <v>33</v>
      </c>
      <c r="B32" s="5">
        <v>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4</v>
      </c>
    </row>
    <row r="33" spans="1:8" x14ac:dyDescent="0.25">
      <c r="A33" s="5" t="s">
        <v>23</v>
      </c>
      <c r="B33" s="5">
        <v>35</v>
      </c>
      <c r="C33" s="5">
        <v>45</v>
      </c>
      <c r="D33" s="5">
        <v>39</v>
      </c>
      <c r="E33" s="5">
        <v>40</v>
      </c>
      <c r="F33" s="5">
        <v>41</v>
      </c>
      <c r="G33" s="5">
        <v>0</v>
      </c>
      <c r="H33" s="6">
        <f t="shared" si="6"/>
        <v>200</v>
      </c>
    </row>
    <row r="34" spans="1:8" x14ac:dyDescent="0.25">
      <c r="A34" s="7" t="s">
        <v>15</v>
      </c>
      <c r="B34" s="7">
        <f t="shared" ref="B34:G34" si="7">SUM(B30:B33)</f>
        <v>95</v>
      </c>
      <c r="C34" s="7">
        <f t="shared" si="7"/>
        <v>97</v>
      </c>
      <c r="D34" s="7">
        <f t="shared" si="7"/>
        <v>95</v>
      </c>
      <c r="E34" s="7">
        <f t="shared" si="7"/>
        <v>82</v>
      </c>
      <c r="F34" s="7">
        <f t="shared" si="7"/>
        <v>81</v>
      </c>
      <c r="G34" s="7">
        <f t="shared" si="7"/>
        <v>43</v>
      </c>
      <c r="H34" s="6">
        <f t="shared" si="6"/>
        <v>493</v>
      </c>
    </row>
    <row r="35" spans="1:8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>
        <v>45775</v>
      </c>
      <c r="C38" s="4">
        <v>45776</v>
      </c>
      <c r="D38" s="4">
        <v>45777</v>
      </c>
      <c r="E38" s="4">
        <v>45778</v>
      </c>
      <c r="F38" s="4">
        <v>45779</v>
      </c>
      <c r="G38" s="4">
        <v>45780</v>
      </c>
      <c r="H38" s="3" t="s">
        <v>19</v>
      </c>
    </row>
    <row r="39" spans="1:8" x14ac:dyDescent="0.25">
      <c r="A39" s="5" t="s">
        <v>20</v>
      </c>
      <c r="B39" s="5">
        <v>24</v>
      </c>
      <c r="C39" s="5">
        <v>19</v>
      </c>
      <c r="D39" s="5">
        <v>18</v>
      </c>
      <c r="E39" s="5">
        <v>17</v>
      </c>
      <c r="F39" s="5">
        <v>23</v>
      </c>
      <c r="G39" s="5">
        <v>40</v>
      </c>
      <c r="H39" s="6">
        <f t="shared" ref="H39:H45" si="8">SUM(B39:G39)</f>
        <v>141</v>
      </c>
    </row>
    <row r="40" spans="1:8" x14ac:dyDescent="0.25">
      <c r="A40" s="5" t="s">
        <v>21</v>
      </c>
      <c r="B40" s="5">
        <v>28</v>
      </c>
      <c r="C40" s="5">
        <v>32</v>
      </c>
      <c r="D40" s="5">
        <v>31</v>
      </c>
      <c r="E40" s="5">
        <v>28</v>
      </c>
      <c r="F40" s="5">
        <v>33</v>
      </c>
      <c r="G40" s="5">
        <v>0</v>
      </c>
      <c r="H40" s="6">
        <f t="shared" si="8"/>
        <v>152</v>
      </c>
    </row>
    <row r="41" spans="1:8" x14ac:dyDescent="0.25">
      <c r="A41" s="5" t="s">
        <v>34</v>
      </c>
      <c r="B41" s="5">
        <v>10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6">
        <f t="shared" si="8"/>
        <v>10</v>
      </c>
    </row>
    <row r="42" spans="1:8" x14ac:dyDescent="0.25">
      <c r="A42" s="5" t="s">
        <v>23</v>
      </c>
      <c r="B42" s="5">
        <v>36</v>
      </c>
      <c r="C42" s="5">
        <v>45</v>
      </c>
      <c r="D42" s="5">
        <v>43</v>
      </c>
      <c r="E42" s="5">
        <v>38</v>
      </c>
      <c r="F42" s="5">
        <v>42</v>
      </c>
      <c r="G42" s="5">
        <v>0</v>
      </c>
      <c r="H42" s="6">
        <f t="shared" si="8"/>
        <v>204</v>
      </c>
    </row>
    <row r="43" spans="1:8" x14ac:dyDescent="0.25">
      <c r="A43" s="7" t="s">
        <v>15</v>
      </c>
      <c r="B43" s="7">
        <f t="shared" ref="B43:G43" si="9">SUM(B39:B42)</f>
        <v>98</v>
      </c>
      <c r="C43" s="7">
        <f t="shared" si="9"/>
        <v>96</v>
      </c>
      <c r="D43" s="7">
        <f t="shared" si="9"/>
        <v>92</v>
      </c>
      <c r="E43" s="7">
        <f t="shared" si="9"/>
        <v>83</v>
      </c>
      <c r="F43" s="7">
        <f t="shared" si="9"/>
        <v>98</v>
      </c>
      <c r="G43" s="7">
        <f t="shared" si="9"/>
        <v>40</v>
      </c>
      <c r="H43" s="6">
        <f t="shared" si="8"/>
        <v>507</v>
      </c>
    </row>
    <row r="44" spans="1:8" x14ac:dyDescent="0.25">
      <c r="A44" s="5" t="s">
        <v>35</v>
      </c>
      <c r="B44" s="5"/>
      <c r="C44" s="5"/>
      <c r="D44" s="5">
        <v>2</v>
      </c>
      <c r="E44" s="5"/>
      <c r="F44" s="5"/>
      <c r="G44" s="5"/>
      <c r="H44" s="6">
        <f t="shared" si="8"/>
        <v>2</v>
      </c>
    </row>
    <row r="45" spans="1:8" x14ac:dyDescent="0.25">
      <c r="A45" s="5" t="s">
        <v>31</v>
      </c>
      <c r="B45" s="5"/>
      <c r="C45" s="5"/>
      <c r="D45" s="5"/>
      <c r="E45" s="5">
        <v>6</v>
      </c>
      <c r="F45" s="5"/>
      <c r="G45" s="5"/>
      <c r="H45" s="6">
        <f t="shared" si="8"/>
        <v>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62"/>
  <sheetViews>
    <sheetView topLeftCell="A28" workbookViewId="0">
      <selection activeCell="M50" sqref="M50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45782</v>
      </c>
      <c r="C2" s="4">
        <v>45783</v>
      </c>
      <c r="D2" s="4">
        <v>45784</v>
      </c>
      <c r="E2" s="4">
        <v>45785</v>
      </c>
      <c r="F2" s="4">
        <v>45786</v>
      </c>
      <c r="G2" s="4">
        <v>45787</v>
      </c>
      <c r="H2" s="4">
        <v>45788</v>
      </c>
      <c r="I2" s="2" t="s">
        <v>8</v>
      </c>
    </row>
    <row r="3" spans="1:11" x14ac:dyDescent="0.25">
      <c r="A3" s="5" t="s">
        <v>9</v>
      </c>
      <c r="B3" s="5">
        <f>SUM('May Provider Totals '!B7)</f>
        <v>107</v>
      </c>
      <c r="C3" s="5">
        <f>SUM('May Provider Totals '!C7)</f>
        <v>85</v>
      </c>
      <c r="D3" s="5">
        <f>SUM('May Provider Totals '!D7)</f>
        <v>95</v>
      </c>
      <c r="E3" s="5">
        <f>SUM('May Provider Totals '!E7)</f>
        <v>97</v>
      </c>
      <c r="F3" s="5">
        <f>SUM('May Provider Totals '!F7)</f>
        <v>83</v>
      </c>
      <c r="G3" s="5">
        <v>39</v>
      </c>
      <c r="H3" s="5">
        <v>0</v>
      </c>
      <c r="I3" s="6">
        <f t="shared" ref="I3:I11" si="0">SUM(B3:H3)</f>
        <v>506</v>
      </c>
    </row>
    <row r="4" spans="1:11" x14ac:dyDescent="0.25">
      <c r="A4" s="5" t="s">
        <v>10</v>
      </c>
      <c r="B4" s="5">
        <v>66</v>
      </c>
      <c r="C4" s="5">
        <v>54</v>
      </c>
      <c r="D4" s="5">
        <v>55</v>
      </c>
      <c r="E4" s="5">
        <v>46</v>
      </c>
      <c r="F4" s="5">
        <v>41</v>
      </c>
      <c r="G4" s="5">
        <v>20</v>
      </c>
      <c r="H4" s="5">
        <v>0</v>
      </c>
      <c r="I4" s="6">
        <f t="shared" si="0"/>
        <v>282</v>
      </c>
    </row>
    <row r="5" spans="1:11" x14ac:dyDescent="0.25">
      <c r="A5" s="5" t="s">
        <v>11</v>
      </c>
      <c r="B5" s="5">
        <v>9</v>
      </c>
      <c r="C5" s="5">
        <v>7</v>
      </c>
      <c r="D5" s="5">
        <v>13</v>
      </c>
      <c r="E5" s="5">
        <v>0</v>
      </c>
      <c r="F5" s="5">
        <v>3</v>
      </c>
      <c r="G5" s="5">
        <v>1</v>
      </c>
      <c r="H5" s="5">
        <v>0</v>
      </c>
      <c r="I5" s="6">
        <f t="shared" si="0"/>
        <v>33</v>
      </c>
    </row>
    <row r="6" spans="1:11" x14ac:dyDescent="0.25">
      <c r="A6" s="5" t="s">
        <v>12</v>
      </c>
      <c r="B6" s="5">
        <v>7</v>
      </c>
      <c r="C6" s="5">
        <v>5</v>
      </c>
      <c r="D6" s="5">
        <v>5</v>
      </c>
      <c r="E6" s="5">
        <v>0</v>
      </c>
      <c r="F6" s="5">
        <v>11</v>
      </c>
      <c r="G6" s="5">
        <v>0</v>
      </c>
      <c r="H6" s="5">
        <v>0</v>
      </c>
      <c r="I6" s="6">
        <f t="shared" si="0"/>
        <v>28</v>
      </c>
    </row>
    <row r="7" spans="1:11" x14ac:dyDescent="0.25">
      <c r="A7" s="5" t="s">
        <v>13</v>
      </c>
      <c r="B7" s="5">
        <v>1</v>
      </c>
      <c r="C7" s="5">
        <v>1</v>
      </c>
      <c r="D7" s="5">
        <v>2</v>
      </c>
      <c r="E7" s="5">
        <v>1</v>
      </c>
      <c r="F7" s="5">
        <v>2</v>
      </c>
      <c r="G7" s="5">
        <v>0</v>
      </c>
      <c r="H7" s="5">
        <v>0</v>
      </c>
      <c r="I7" s="6">
        <f t="shared" si="0"/>
        <v>7</v>
      </c>
    </row>
    <row r="8" spans="1:11" x14ac:dyDescent="0.25">
      <c r="A8" s="5" t="s">
        <v>14</v>
      </c>
      <c r="B8" s="5">
        <v>1</v>
      </c>
      <c r="C8" s="5">
        <v>0</v>
      </c>
      <c r="D8" s="5">
        <v>3</v>
      </c>
      <c r="E8" s="5">
        <v>0</v>
      </c>
      <c r="F8" s="5">
        <v>2</v>
      </c>
      <c r="G8" s="5">
        <v>0</v>
      </c>
      <c r="H8" s="5">
        <v>0</v>
      </c>
      <c r="I8" s="6">
        <f t="shared" si="0"/>
        <v>6</v>
      </c>
    </row>
    <row r="9" spans="1:11" x14ac:dyDescent="0.25">
      <c r="A9" s="7" t="s">
        <v>15</v>
      </c>
      <c r="B9" s="7">
        <f t="shared" ref="B9:H9" si="1">SUM(B3:B8)</f>
        <v>191</v>
      </c>
      <c r="C9" s="7">
        <f t="shared" si="1"/>
        <v>152</v>
      </c>
      <c r="D9" s="7">
        <f t="shared" si="1"/>
        <v>173</v>
      </c>
      <c r="E9" s="7">
        <f t="shared" si="1"/>
        <v>144</v>
      </c>
      <c r="F9" s="7">
        <f t="shared" si="1"/>
        <v>142</v>
      </c>
      <c r="G9" s="7">
        <f t="shared" si="1"/>
        <v>60</v>
      </c>
      <c r="H9" s="7">
        <f t="shared" si="1"/>
        <v>0</v>
      </c>
      <c r="I9" s="6">
        <f t="shared" si="0"/>
        <v>862</v>
      </c>
      <c r="J9" s="1"/>
      <c r="K9" s="1"/>
    </row>
    <row r="10" spans="1:11" x14ac:dyDescent="0.2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45789</v>
      </c>
      <c r="C15" s="4">
        <v>45790</v>
      </c>
      <c r="D15" s="4">
        <v>45791</v>
      </c>
      <c r="E15" s="4">
        <v>45792</v>
      </c>
      <c r="F15" s="4">
        <v>45793</v>
      </c>
      <c r="G15" s="4">
        <v>45794</v>
      </c>
      <c r="H15" s="4">
        <v>45795</v>
      </c>
      <c r="I15" s="2" t="s">
        <v>8</v>
      </c>
    </row>
    <row r="16" spans="1:11" x14ac:dyDescent="0.25">
      <c r="A16" s="5" t="s">
        <v>9</v>
      </c>
      <c r="B16" s="5">
        <v>107</v>
      </c>
      <c r="C16" s="5">
        <v>97</v>
      </c>
      <c r="D16" s="5">
        <v>100</v>
      </c>
      <c r="E16" s="5">
        <v>92</v>
      </c>
      <c r="F16" s="5">
        <v>93</v>
      </c>
      <c r="G16" s="5">
        <v>36</v>
      </c>
      <c r="H16" s="5">
        <v>0</v>
      </c>
      <c r="I16" s="6">
        <f>SUM(B16:H16)</f>
        <v>525</v>
      </c>
    </row>
    <row r="17" spans="1:11" x14ac:dyDescent="0.25">
      <c r="A17" s="5" t="s">
        <v>10</v>
      </c>
      <c r="B17" s="5">
        <v>48</v>
      </c>
      <c r="C17" s="5">
        <v>58</v>
      </c>
      <c r="D17" s="5">
        <v>62</v>
      </c>
      <c r="E17" s="5">
        <v>44</v>
      </c>
      <c r="F17" s="5">
        <v>55</v>
      </c>
      <c r="G17" s="5">
        <v>18</v>
      </c>
      <c r="H17" s="5">
        <v>6</v>
      </c>
      <c r="I17" s="6">
        <f t="shared" ref="I17:I21" si="2">SUM(B17:H17)</f>
        <v>291</v>
      </c>
    </row>
    <row r="18" spans="1:11" x14ac:dyDescent="0.25">
      <c r="A18" s="5" t="s">
        <v>11</v>
      </c>
      <c r="B18" s="5">
        <v>11</v>
      </c>
      <c r="C18" s="5">
        <v>7</v>
      </c>
      <c r="D18" s="5">
        <v>14</v>
      </c>
      <c r="E18" s="5">
        <v>1</v>
      </c>
      <c r="F18" s="5">
        <v>0</v>
      </c>
      <c r="G18" s="5">
        <v>0</v>
      </c>
      <c r="H18" s="5">
        <v>0</v>
      </c>
      <c r="I18" s="6">
        <f t="shared" si="2"/>
        <v>33</v>
      </c>
    </row>
    <row r="19" spans="1:11" x14ac:dyDescent="0.25">
      <c r="A19" s="5" t="s">
        <v>12</v>
      </c>
      <c r="B19" s="5">
        <v>5</v>
      </c>
      <c r="C19" s="5">
        <v>4</v>
      </c>
      <c r="D19" s="5">
        <v>8</v>
      </c>
      <c r="E19" s="5">
        <v>0</v>
      </c>
      <c r="F19" s="5">
        <v>6</v>
      </c>
      <c r="G19" s="5">
        <v>0</v>
      </c>
      <c r="H19" s="5">
        <v>0</v>
      </c>
      <c r="I19" s="6">
        <f t="shared" si="2"/>
        <v>23</v>
      </c>
    </row>
    <row r="20" spans="1:11" x14ac:dyDescent="0.25">
      <c r="A20" s="5" t="s">
        <v>13</v>
      </c>
      <c r="B20" s="5">
        <v>2</v>
      </c>
      <c r="C20" s="5">
        <v>2</v>
      </c>
      <c r="D20" s="5">
        <v>2</v>
      </c>
      <c r="E20" s="5">
        <v>1</v>
      </c>
      <c r="F20" s="5">
        <v>1</v>
      </c>
      <c r="G20" s="5">
        <v>2</v>
      </c>
      <c r="H20" s="5">
        <v>0</v>
      </c>
      <c r="I20" s="6">
        <f t="shared" si="2"/>
        <v>10</v>
      </c>
    </row>
    <row r="21" spans="1:11" x14ac:dyDescent="0.25">
      <c r="A21" s="5" t="s">
        <v>14</v>
      </c>
      <c r="B21" s="5">
        <v>3</v>
      </c>
      <c r="C21" s="5">
        <v>1</v>
      </c>
      <c r="D21" s="5">
        <v>2</v>
      </c>
      <c r="E21" s="5">
        <v>0</v>
      </c>
      <c r="F21" s="5">
        <v>2</v>
      </c>
      <c r="G21" s="5">
        <v>0</v>
      </c>
      <c r="H21" s="5">
        <v>0</v>
      </c>
      <c r="I21" s="6">
        <f t="shared" si="2"/>
        <v>8</v>
      </c>
    </row>
    <row r="22" spans="1:11" x14ac:dyDescent="0.25">
      <c r="A22" s="7" t="s">
        <v>15</v>
      </c>
      <c r="B22" s="7">
        <f t="shared" ref="B22:G22" si="3">SUM(B16:B21)</f>
        <v>176</v>
      </c>
      <c r="C22" s="7">
        <f t="shared" si="3"/>
        <v>169</v>
      </c>
      <c r="D22" s="7">
        <f t="shared" si="3"/>
        <v>188</v>
      </c>
      <c r="E22" s="7">
        <f t="shared" si="3"/>
        <v>138</v>
      </c>
      <c r="F22" s="7">
        <f t="shared" si="3"/>
        <v>157</v>
      </c>
      <c r="G22" s="7">
        <f t="shared" si="3"/>
        <v>56</v>
      </c>
      <c r="H22" s="7">
        <f>SUM(H16:H21)</f>
        <v>6</v>
      </c>
      <c r="I22" s="6">
        <f>SUM(B22:H22)</f>
        <v>890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45796</v>
      </c>
      <c r="C28" s="4">
        <v>45797</v>
      </c>
      <c r="D28" s="4">
        <v>45798</v>
      </c>
      <c r="E28" s="4">
        <v>45799</v>
      </c>
      <c r="F28" s="4">
        <v>45800</v>
      </c>
      <c r="G28" s="4">
        <v>45801</v>
      </c>
      <c r="H28" s="4">
        <v>45802</v>
      </c>
      <c r="I28" s="2" t="s">
        <v>8</v>
      </c>
    </row>
    <row r="29" spans="1:11" x14ac:dyDescent="0.25">
      <c r="A29" s="5" t="s">
        <v>9</v>
      </c>
      <c r="B29" s="5">
        <v>101</v>
      </c>
      <c r="C29" s="5">
        <v>103</v>
      </c>
      <c r="D29" s="5">
        <v>102</v>
      </c>
      <c r="E29" s="5">
        <v>88</v>
      </c>
      <c r="F29" s="5">
        <v>92</v>
      </c>
      <c r="G29" s="5">
        <v>33</v>
      </c>
      <c r="H29" s="5">
        <v>0</v>
      </c>
      <c r="I29" s="6">
        <f t="shared" ref="I29:I37" si="4">SUM(B29:H29)</f>
        <v>519</v>
      </c>
    </row>
    <row r="30" spans="1:11" x14ac:dyDescent="0.25">
      <c r="A30" s="5" t="s">
        <v>10</v>
      </c>
      <c r="B30" s="5">
        <v>59</v>
      </c>
      <c r="C30" s="5">
        <v>54</v>
      </c>
      <c r="D30" s="5">
        <v>64</v>
      </c>
      <c r="E30" s="5">
        <v>40</v>
      </c>
      <c r="F30" s="5">
        <v>55</v>
      </c>
      <c r="G30" s="5">
        <v>9</v>
      </c>
      <c r="H30" s="5">
        <v>0</v>
      </c>
      <c r="I30" s="6">
        <f t="shared" si="4"/>
        <v>281</v>
      </c>
    </row>
    <row r="31" spans="1:11" x14ac:dyDescent="0.25">
      <c r="A31" s="5" t="s">
        <v>11</v>
      </c>
      <c r="B31" s="5">
        <v>14</v>
      </c>
      <c r="C31" s="5">
        <v>10</v>
      </c>
      <c r="D31" s="5">
        <v>16</v>
      </c>
      <c r="E31" s="5">
        <v>3</v>
      </c>
      <c r="F31" s="5">
        <v>0</v>
      </c>
      <c r="G31" s="5">
        <v>0</v>
      </c>
      <c r="H31" s="5">
        <v>0</v>
      </c>
      <c r="I31" s="6">
        <f t="shared" si="4"/>
        <v>43</v>
      </c>
    </row>
    <row r="32" spans="1:11" x14ac:dyDescent="0.25">
      <c r="A32" s="5" t="s">
        <v>12</v>
      </c>
      <c r="B32" s="5">
        <v>5</v>
      </c>
      <c r="C32" s="5">
        <v>4</v>
      </c>
      <c r="D32" s="5">
        <v>7</v>
      </c>
      <c r="E32" s="5">
        <v>0</v>
      </c>
      <c r="F32" s="5">
        <v>10</v>
      </c>
      <c r="G32" s="5">
        <v>0</v>
      </c>
      <c r="H32" s="5">
        <v>0</v>
      </c>
      <c r="I32" s="6">
        <f>SUM(B32:H32)</f>
        <v>26</v>
      </c>
    </row>
    <row r="33" spans="1:11" x14ac:dyDescent="0.25">
      <c r="A33" s="5" t="s">
        <v>13</v>
      </c>
      <c r="B33" s="5">
        <v>0</v>
      </c>
      <c r="C33" s="5">
        <v>1</v>
      </c>
      <c r="D33" s="5">
        <v>0</v>
      </c>
      <c r="E33" s="5">
        <v>1</v>
      </c>
      <c r="F33" s="5">
        <v>2</v>
      </c>
      <c r="G33" s="5">
        <v>0</v>
      </c>
      <c r="H33" s="5">
        <v>0</v>
      </c>
      <c r="I33" s="6">
        <f t="shared" si="4"/>
        <v>4</v>
      </c>
    </row>
    <row r="34" spans="1:11" x14ac:dyDescent="0.25">
      <c r="A34" s="5" t="s">
        <v>14</v>
      </c>
      <c r="B34" s="5">
        <v>0</v>
      </c>
      <c r="C34" s="5">
        <v>0</v>
      </c>
      <c r="D34" s="5">
        <v>3</v>
      </c>
      <c r="E34" s="5">
        <v>0</v>
      </c>
      <c r="F34" s="5">
        <v>2</v>
      </c>
      <c r="G34" s="5">
        <v>0</v>
      </c>
      <c r="H34" s="5">
        <v>0</v>
      </c>
      <c r="I34" s="6">
        <f t="shared" si="4"/>
        <v>5</v>
      </c>
    </row>
    <row r="35" spans="1:11" x14ac:dyDescent="0.25">
      <c r="A35" s="7" t="s">
        <v>15</v>
      </c>
      <c r="B35" s="7">
        <f t="shared" ref="B35:H35" si="5">SUM(B29:B34)</f>
        <v>179</v>
      </c>
      <c r="C35" s="7">
        <f t="shared" si="5"/>
        <v>172</v>
      </c>
      <c r="D35" s="7">
        <f t="shared" si="5"/>
        <v>192</v>
      </c>
      <c r="E35" s="7">
        <f t="shared" si="5"/>
        <v>132</v>
      </c>
      <c r="F35" s="7">
        <f t="shared" si="5"/>
        <v>161</v>
      </c>
      <c r="G35" s="7">
        <f t="shared" si="5"/>
        <v>42</v>
      </c>
      <c r="H35" s="7">
        <f t="shared" si="5"/>
        <v>0</v>
      </c>
      <c r="I35" s="6">
        <f t="shared" si="4"/>
        <v>878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45803</v>
      </c>
      <c r="C41" s="4">
        <v>45804</v>
      </c>
      <c r="D41" s="4">
        <v>45805</v>
      </c>
      <c r="E41" s="4">
        <v>45806</v>
      </c>
      <c r="F41" s="4">
        <v>45807</v>
      </c>
      <c r="G41" s="4">
        <v>45808</v>
      </c>
      <c r="H41" s="4">
        <v>45809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123</v>
      </c>
      <c r="D42" s="5">
        <v>110</v>
      </c>
      <c r="E42" s="5">
        <v>85</v>
      </c>
      <c r="F42" s="5">
        <v>70</v>
      </c>
      <c r="G42" s="5">
        <v>40</v>
      </c>
      <c r="H42" s="5">
        <v>0</v>
      </c>
      <c r="I42" s="6">
        <f t="shared" ref="I42:I50" si="6">SUM(B42:H42)</f>
        <v>428</v>
      </c>
    </row>
    <row r="43" spans="1:11" x14ac:dyDescent="0.25">
      <c r="A43" s="5" t="s">
        <v>10</v>
      </c>
      <c r="B43" s="5">
        <v>0</v>
      </c>
      <c r="C43" s="5">
        <v>64</v>
      </c>
      <c r="D43" s="5">
        <v>67</v>
      </c>
      <c r="E43" s="5">
        <v>42</v>
      </c>
      <c r="F43" s="5">
        <v>48</v>
      </c>
      <c r="G43" s="5">
        <v>15</v>
      </c>
      <c r="H43" s="5">
        <v>0</v>
      </c>
      <c r="I43" s="6">
        <f t="shared" si="6"/>
        <v>236</v>
      </c>
    </row>
    <row r="44" spans="1:11" x14ac:dyDescent="0.25">
      <c r="A44" s="5" t="s">
        <v>11</v>
      </c>
      <c r="B44" s="5">
        <v>0</v>
      </c>
      <c r="C44" s="5">
        <v>14</v>
      </c>
      <c r="D44" s="5">
        <v>16</v>
      </c>
      <c r="E44" s="5">
        <v>0</v>
      </c>
      <c r="F44" s="5">
        <v>9</v>
      </c>
      <c r="G44" s="5">
        <v>0</v>
      </c>
      <c r="H44" s="5">
        <v>0</v>
      </c>
      <c r="I44" s="6">
        <f t="shared" si="6"/>
        <v>39</v>
      </c>
    </row>
    <row r="45" spans="1:11" x14ac:dyDescent="0.25">
      <c r="A45" s="5" t="s">
        <v>12</v>
      </c>
      <c r="B45" s="5">
        <v>0</v>
      </c>
      <c r="C45" s="5">
        <v>9</v>
      </c>
      <c r="D45" s="5">
        <v>7</v>
      </c>
      <c r="E45" s="5">
        <v>0</v>
      </c>
      <c r="F45" s="5">
        <v>9</v>
      </c>
      <c r="G45" s="5">
        <v>0</v>
      </c>
      <c r="H45" s="5">
        <v>0</v>
      </c>
      <c r="I45" s="6">
        <f t="shared" si="6"/>
        <v>25</v>
      </c>
    </row>
    <row r="46" spans="1:11" x14ac:dyDescent="0.25">
      <c r="A46" s="5" t="s">
        <v>13</v>
      </c>
      <c r="B46" s="5">
        <v>0</v>
      </c>
      <c r="C46" s="5">
        <v>1</v>
      </c>
      <c r="D46" s="5">
        <v>0</v>
      </c>
      <c r="E46" s="5">
        <v>0</v>
      </c>
      <c r="F46" s="5">
        <v>4</v>
      </c>
      <c r="G46" s="5">
        <v>0</v>
      </c>
      <c r="H46" s="5">
        <v>0</v>
      </c>
      <c r="I46" s="6">
        <f t="shared" si="6"/>
        <v>5</v>
      </c>
    </row>
    <row r="47" spans="1:11" x14ac:dyDescent="0.25">
      <c r="A47" s="5" t="s">
        <v>14</v>
      </c>
      <c r="B47" s="5">
        <v>0</v>
      </c>
      <c r="C47" s="5">
        <v>0</v>
      </c>
      <c r="D47" s="5">
        <v>1</v>
      </c>
      <c r="E47" s="5">
        <v>1</v>
      </c>
      <c r="F47" s="5">
        <v>1</v>
      </c>
      <c r="G47" s="5">
        <v>0</v>
      </c>
      <c r="H47" s="5">
        <v>0</v>
      </c>
      <c r="I47" s="6">
        <f t="shared" si="6"/>
        <v>3</v>
      </c>
    </row>
    <row r="48" spans="1:11" x14ac:dyDescent="0.25">
      <c r="A48" s="7" t="s">
        <v>15</v>
      </c>
      <c r="B48" s="7">
        <f>B47</f>
        <v>0</v>
      </c>
      <c r="C48" s="7">
        <f>SUM(C42:C47)</f>
        <v>211</v>
      </c>
      <c r="D48" s="7">
        <f>SUM(D42:D47)</f>
        <v>201</v>
      </c>
      <c r="E48" s="7">
        <f>SUM(E42:E47)</f>
        <v>128</v>
      </c>
      <c r="F48" s="7">
        <f>SUM(F42:F47)</f>
        <v>141</v>
      </c>
      <c r="G48" s="7">
        <f>SUM(G42:G47)</f>
        <v>55</v>
      </c>
      <c r="H48" s="7">
        <f t="shared" ref="H48" si="7">SUM(H42:H47)</f>
        <v>0</v>
      </c>
      <c r="I48" s="6">
        <f t="shared" si="6"/>
        <v>736</v>
      </c>
      <c r="J48" s="1"/>
      <c r="K48" s="1"/>
    </row>
    <row r="49" spans="1:11" x14ac:dyDescent="0.25">
      <c r="A49" s="5" t="s">
        <v>36</v>
      </c>
      <c r="B49" s="5">
        <v>0</v>
      </c>
      <c r="C49" s="5">
        <v>4</v>
      </c>
      <c r="D49" s="5">
        <v>0</v>
      </c>
      <c r="E49" s="5">
        <v>0</v>
      </c>
      <c r="F49" s="5">
        <v>0</v>
      </c>
      <c r="G49" s="5">
        <v>5</v>
      </c>
      <c r="H49" s="5">
        <v>0</v>
      </c>
      <c r="I49" s="6">
        <f t="shared" si="6"/>
        <v>9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3366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5"/>
  <sheetViews>
    <sheetView topLeftCell="A13" workbookViewId="0">
      <selection activeCell="F33" sqref="F33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45782</v>
      </c>
      <c r="C2" s="4">
        <v>45783</v>
      </c>
      <c r="D2" s="4">
        <v>45784</v>
      </c>
      <c r="E2" s="4">
        <v>45785</v>
      </c>
      <c r="F2" s="4">
        <v>45786</v>
      </c>
      <c r="G2" s="4">
        <v>45787</v>
      </c>
      <c r="H2" s="3" t="s">
        <v>19</v>
      </c>
    </row>
    <row r="3" spans="1:8" x14ac:dyDescent="0.25">
      <c r="A3" s="5" t="s">
        <v>20</v>
      </c>
      <c r="B3" s="5">
        <v>27</v>
      </c>
      <c r="C3" s="5">
        <v>23</v>
      </c>
      <c r="D3" s="5">
        <v>19</v>
      </c>
      <c r="E3" s="5">
        <v>24</v>
      </c>
      <c r="F3" s="5">
        <v>18</v>
      </c>
      <c r="G3" s="5">
        <v>0</v>
      </c>
      <c r="H3" s="6">
        <f t="shared" ref="H3:H9" si="0">SUM(B3:G3)</f>
        <v>111</v>
      </c>
    </row>
    <row r="4" spans="1:8" x14ac:dyDescent="0.25">
      <c r="A4" s="5" t="s">
        <v>21</v>
      </c>
      <c r="B4" s="5">
        <v>33</v>
      </c>
      <c r="C4" s="5">
        <v>28</v>
      </c>
      <c r="D4" s="5">
        <v>31</v>
      </c>
      <c r="E4" s="5">
        <v>30</v>
      </c>
      <c r="F4" s="5">
        <v>26</v>
      </c>
      <c r="G4" s="5">
        <v>39</v>
      </c>
      <c r="H4" s="6">
        <f t="shared" si="0"/>
        <v>187</v>
      </c>
    </row>
    <row r="5" spans="1:8" x14ac:dyDescent="0.25">
      <c r="A5" s="5" t="s">
        <v>33</v>
      </c>
      <c r="B5" s="5">
        <v>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6</v>
      </c>
    </row>
    <row r="6" spans="1:8" x14ac:dyDescent="0.25">
      <c r="A6" s="5" t="s">
        <v>23</v>
      </c>
      <c r="B6" s="5">
        <v>41</v>
      </c>
      <c r="C6" s="5">
        <v>34</v>
      </c>
      <c r="D6" s="5">
        <v>45</v>
      </c>
      <c r="E6" s="5">
        <v>43</v>
      </c>
      <c r="F6" s="5">
        <v>39</v>
      </c>
      <c r="G6" s="5">
        <v>0</v>
      </c>
      <c r="H6" s="6">
        <f t="shared" si="0"/>
        <v>202</v>
      </c>
    </row>
    <row r="7" spans="1:8" x14ac:dyDescent="0.25">
      <c r="A7" s="7" t="s">
        <v>15</v>
      </c>
      <c r="B7" s="7">
        <f t="shared" ref="B7:G7" si="1">SUM(B3:B6)</f>
        <v>107</v>
      </c>
      <c r="C7" s="7">
        <f t="shared" si="1"/>
        <v>85</v>
      </c>
      <c r="D7" s="7">
        <f t="shared" si="1"/>
        <v>95</v>
      </c>
      <c r="E7" s="7">
        <f t="shared" si="1"/>
        <v>97</v>
      </c>
      <c r="F7" s="7">
        <f t="shared" si="1"/>
        <v>83</v>
      </c>
      <c r="G7" s="7">
        <f t="shared" si="1"/>
        <v>39</v>
      </c>
      <c r="H7" s="6">
        <f t="shared" si="0"/>
        <v>506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45789</v>
      </c>
      <c r="C11" s="4">
        <v>45790</v>
      </c>
      <c r="D11" s="4">
        <v>45791</v>
      </c>
      <c r="E11" s="4">
        <v>45792</v>
      </c>
      <c r="F11" s="4">
        <v>45793</v>
      </c>
      <c r="G11" s="4">
        <v>45794</v>
      </c>
      <c r="H11" s="3" t="s">
        <v>19</v>
      </c>
    </row>
    <row r="12" spans="1:8" x14ac:dyDescent="0.25">
      <c r="A12" s="5" t="s">
        <v>20</v>
      </c>
      <c r="B12" s="5">
        <v>19</v>
      </c>
      <c r="C12" s="5">
        <v>23</v>
      </c>
      <c r="D12" s="5">
        <v>20</v>
      </c>
      <c r="E12" s="5">
        <v>19</v>
      </c>
      <c r="F12" s="5">
        <v>23</v>
      </c>
      <c r="G12" s="5">
        <v>36</v>
      </c>
      <c r="H12" s="6">
        <f t="shared" ref="H12:H18" si="2">SUM(B12:G12)</f>
        <v>140</v>
      </c>
    </row>
    <row r="13" spans="1:8" x14ac:dyDescent="0.25">
      <c r="A13" s="5" t="s">
        <v>21</v>
      </c>
      <c r="B13" s="5">
        <v>31</v>
      </c>
      <c r="C13" s="5">
        <v>29</v>
      </c>
      <c r="D13" s="5">
        <v>34</v>
      </c>
      <c r="E13" s="5">
        <v>26</v>
      </c>
      <c r="F13" s="5">
        <v>25</v>
      </c>
      <c r="G13" s="5">
        <v>0</v>
      </c>
      <c r="H13" s="6">
        <f t="shared" si="2"/>
        <v>145</v>
      </c>
    </row>
    <row r="14" spans="1:8" x14ac:dyDescent="0.25">
      <c r="A14" s="5" t="s">
        <v>33</v>
      </c>
      <c r="B14" s="5">
        <v>17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17</v>
      </c>
    </row>
    <row r="15" spans="1:8" x14ac:dyDescent="0.25">
      <c r="A15" s="5" t="s">
        <v>23</v>
      </c>
      <c r="B15" s="5">
        <v>40</v>
      </c>
      <c r="C15" s="5">
        <v>45</v>
      </c>
      <c r="D15" s="5">
        <v>46</v>
      </c>
      <c r="E15" s="5">
        <v>47</v>
      </c>
      <c r="F15" s="5">
        <v>45</v>
      </c>
      <c r="G15" s="5">
        <v>0</v>
      </c>
      <c r="H15" s="6">
        <f t="shared" si="2"/>
        <v>223</v>
      </c>
    </row>
    <row r="16" spans="1:8" x14ac:dyDescent="0.25">
      <c r="A16" s="7" t="s">
        <v>15</v>
      </c>
      <c r="B16" s="7">
        <f t="shared" ref="B16:G16" si="3">SUM(B12:B15)</f>
        <v>107</v>
      </c>
      <c r="C16" s="7">
        <f t="shared" si="3"/>
        <v>97</v>
      </c>
      <c r="D16" s="7">
        <f t="shared" si="3"/>
        <v>100</v>
      </c>
      <c r="E16" s="7">
        <f>SUM(E12:E15)</f>
        <v>92</v>
      </c>
      <c r="F16" s="7">
        <f t="shared" si="3"/>
        <v>93</v>
      </c>
      <c r="G16" s="7">
        <f t="shared" si="3"/>
        <v>36</v>
      </c>
      <c r="H16" s="6">
        <f t="shared" si="2"/>
        <v>525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45796</v>
      </c>
      <c r="C20" s="4">
        <v>45797</v>
      </c>
      <c r="D20" s="4">
        <v>45798</v>
      </c>
      <c r="E20" s="4">
        <v>45799</v>
      </c>
      <c r="F20" s="4">
        <v>45800</v>
      </c>
      <c r="G20" s="4">
        <v>45801</v>
      </c>
      <c r="H20" s="3" t="s">
        <v>19</v>
      </c>
    </row>
    <row r="21" spans="1:8" x14ac:dyDescent="0.25">
      <c r="A21" s="5" t="s">
        <v>20</v>
      </c>
      <c r="B21" s="5">
        <v>23</v>
      </c>
      <c r="C21" s="5">
        <v>25</v>
      </c>
      <c r="D21" s="5">
        <v>23</v>
      </c>
      <c r="E21" s="5">
        <v>23</v>
      </c>
      <c r="F21" s="5">
        <v>20</v>
      </c>
      <c r="G21" s="5">
        <v>0</v>
      </c>
      <c r="H21" s="6">
        <f t="shared" ref="H21:H27" si="4">SUM(B21:G21)</f>
        <v>114</v>
      </c>
    </row>
    <row r="22" spans="1:8" x14ac:dyDescent="0.25">
      <c r="A22" s="5" t="s">
        <v>21</v>
      </c>
      <c r="B22" s="5">
        <v>23</v>
      </c>
      <c r="C22" s="5">
        <v>29</v>
      </c>
      <c r="D22" s="5">
        <v>27</v>
      </c>
      <c r="E22" s="5">
        <v>24</v>
      </c>
      <c r="F22" s="5">
        <v>25</v>
      </c>
      <c r="G22" s="5">
        <v>33</v>
      </c>
      <c r="H22" s="6">
        <f t="shared" si="4"/>
        <v>161</v>
      </c>
    </row>
    <row r="23" spans="1:8" x14ac:dyDescent="0.25">
      <c r="A23" s="5" t="s">
        <v>33</v>
      </c>
      <c r="B23" s="5">
        <v>11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11</v>
      </c>
    </row>
    <row r="24" spans="1:8" x14ac:dyDescent="0.25">
      <c r="A24" s="5" t="s">
        <v>23</v>
      </c>
      <c r="B24" s="5">
        <v>44</v>
      </c>
      <c r="C24" s="5">
        <v>49</v>
      </c>
      <c r="D24" s="5">
        <v>48</v>
      </c>
      <c r="E24" s="5">
        <v>41</v>
      </c>
      <c r="F24" s="5">
        <v>47</v>
      </c>
      <c r="G24" s="5">
        <v>0</v>
      </c>
      <c r="H24" s="6">
        <f t="shared" si="4"/>
        <v>229</v>
      </c>
    </row>
    <row r="25" spans="1:8" x14ac:dyDescent="0.25">
      <c r="A25" s="7" t="s">
        <v>15</v>
      </c>
      <c r="B25" s="7">
        <f t="shared" ref="B25:G25" si="5">SUM(B21:B24)</f>
        <v>101</v>
      </c>
      <c r="C25" s="7">
        <f t="shared" si="5"/>
        <v>103</v>
      </c>
      <c r="D25" s="7">
        <f t="shared" si="5"/>
        <v>98</v>
      </c>
      <c r="E25" s="7">
        <f>SUM(E21:E24)</f>
        <v>88</v>
      </c>
      <c r="F25" s="7">
        <f t="shared" si="5"/>
        <v>92</v>
      </c>
      <c r="G25" s="7">
        <f t="shared" si="5"/>
        <v>33</v>
      </c>
      <c r="H25" s="6">
        <f t="shared" si="4"/>
        <v>515</v>
      </c>
    </row>
    <row r="26" spans="1:8" x14ac:dyDescent="0.25">
      <c r="A26" s="5" t="s">
        <v>29</v>
      </c>
      <c r="B26" s="5"/>
      <c r="C26" s="5"/>
      <c r="D26" s="5">
        <v>4</v>
      </c>
      <c r="E26" s="5"/>
      <c r="F26" s="5"/>
      <c r="G26" s="5"/>
      <c r="H26" s="6">
        <f t="shared" si="4"/>
        <v>4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45803</v>
      </c>
      <c r="C29" s="4">
        <v>45804</v>
      </c>
      <c r="D29" s="4">
        <v>45805</v>
      </c>
      <c r="E29" s="4">
        <v>45806</v>
      </c>
      <c r="F29" s="4">
        <v>45807</v>
      </c>
      <c r="G29" s="4">
        <v>45808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17</v>
      </c>
      <c r="D30" s="5">
        <v>21</v>
      </c>
      <c r="E30" s="5">
        <v>20</v>
      </c>
      <c r="F30" s="5">
        <v>14</v>
      </c>
      <c r="G30" s="5">
        <v>35</v>
      </c>
      <c r="H30" s="6">
        <f>SUM(B30:G30)</f>
        <v>107</v>
      </c>
    </row>
    <row r="31" spans="1:8" x14ac:dyDescent="0.25">
      <c r="A31" s="5" t="s">
        <v>21</v>
      </c>
      <c r="B31" s="5">
        <v>0</v>
      </c>
      <c r="C31" s="5">
        <v>29</v>
      </c>
      <c r="D31" s="5">
        <v>27</v>
      </c>
      <c r="E31" s="5">
        <v>25</v>
      </c>
      <c r="F31" s="5">
        <v>20</v>
      </c>
      <c r="G31" s="5">
        <v>0</v>
      </c>
      <c r="H31" s="6">
        <f t="shared" ref="H31:H36" si="6">SUM(B31:G31)</f>
        <v>101</v>
      </c>
    </row>
    <row r="32" spans="1:8" x14ac:dyDescent="0.25">
      <c r="A32" s="5" t="s">
        <v>33</v>
      </c>
      <c r="B32" s="5">
        <v>0</v>
      </c>
      <c r="C32" s="5">
        <v>4</v>
      </c>
      <c r="D32" s="5">
        <v>0</v>
      </c>
      <c r="E32" s="5">
        <v>0</v>
      </c>
      <c r="F32" s="5">
        <v>0</v>
      </c>
      <c r="G32" s="5">
        <v>5</v>
      </c>
      <c r="H32" s="6">
        <f>SUM(B32:G32)</f>
        <v>9</v>
      </c>
    </row>
    <row r="33" spans="1:8" x14ac:dyDescent="0.25">
      <c r="A33" s="5" t="s">
        <v>23</v>
      </c>
      <c r="B33" s="5">
        <v>0</v>
      </c>
      <c r="C33" s="5">
        <v>73</v>
      </c>
      <c r="D33" s="5">
        <v>62</v>
      </c>
      <c r="E33" s="5">
        <v>40</v>
      </c>
      <c r="F33" s="5">
        <v>36</v>
      </c>
      <c r="G33" s="5">
        <v>0</v>
      </c>
      <c r="H33" s="6">
        <f t="shared" si="6"/>
        <v>211</v>
      </c>
    </row>
    <row r="34" spans="1:8" x14ac:dyDescent="0.25">
      <c r="A34" s="7" t="s">
        <v>15</v>
      </c>
      <c r="B34" s="7">
        <f t="shared" ref="B34:G34" si="7">SUM(B30:B33)</f>
        <v>0</v>
      </c>
      <c r="C34" s="7">
        <f t="shared" si="7"/>
        <v>123</v>
      </c>
      <c r="D34" s="7">
        <f t="shared" si="7"/>
        <v>110</v>
      </c>
      <c r="E34" s="7">
        <f t="shared" si="7"/>
        <v>85</v>
      </c>
      <c r="F34" s="7">
        <f t="shared" si="7"/>
        <v>70</v>
      </c>
      <c r="G34" s="7">
        <f t="shared" si="7"/>
        <v>40</v>
      </c>
      <c r="H34" s="6">
        <f t="shared" si="6"/>
        <v>428</v>
      </c>
    </row>
    <row r="35" spans="1:8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28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62"/>
  <sheetViews>
    <sheetView topLeftCell="A31" workbookViewId="0">
      <selection activeCell="K53" sqref="K53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45810</v>
      </c>
      <c r="C2" s="4">
        <v>45811</v>
      </c>
      <c r="D2" s="4">
        <v>45812</v>
      </c>
      <c r="E2" s="4">
        <v>45813</v>
      </c>
      <c r="F2" s="4">
        <v>45814</v>
      </c>
      <c r="G2" s="4">
        <v>45815</v>
      </c>
      <c r="H2" s="4">
        <v>45816</v>
      </c>
      <c r="I2" s="2" t="s">
        <v>8</v>
      </c>
    </row>
    <row r="3" spans="1:11" x14ac:dyDescent="0.25">
      <c r="A3" s="5" t="s">
        <v>9</v>
      </c>
      <c r="B3" s="5">
        <f>SUM('June Provier Totals '!B7)</f>
        <v>82</v>
      </c>
      <c r="C3" s="5">
        <f>SUM('June Provier Totals '!C7)</f>
        <v>100</v>
      </c>
      <c r="D3" s="5">
        <v>101</v>
      </c>
      <c r="E3" s="5">
        <v>92</v>
      </c>
      <c r="F3" s="5">
        <f>SUM('June Provier Totals '!F7)</f>
        <v>92</v>
      </c>
      <c r="G3" s="5">
        <v>35</v>
      </c>
      <c r="H3" s="5">
        <v>0</v>
      </c>
      <c r="I3" s="6">
        <f t="shared" ref="I3:I11" si="0">SUM(B3:H3)</f>
        <v>502</v>
      </c>
    </row>
    <row r="4" spans="1:11" x14ac:dyDescent="0.25">
      <c r="A4" s="5" t="s">
        <v>10</v>
      </c>
      <c r="B4" s="5">
        <v>59</v>
      </c>
      <c r="C4" s="5">
        <v>57</v>
      </c>
      <c r="D4" s="5">
        <v>57</v>
      </c>
      <c r="E4" s="5">
        <v>42</v>
      </c>
      <c r="F4" s="5">
        <v>55</v>
      </c>
      <c r="G4" s="5">
        <v>18</v>
      </c>
      <c r="H4" s="5">
        <v>0</v>
      </c>
      <c r="I4" s="6">
        <f t="shared" si="0"/>
        <v>288</v>
      </c>
    </row>
    <row r="5" spans="1:11" x14ac:dyDescent="0.25">
      <c r="A5" s="5" t="s">
        <v>11</v>
      </c>
      <c r="B5" s="5">
        <v>14</v>
      </c>
      <c r="C5" s="5">
        <v>8</v>
      </c>
      <c r="D5" s="5">
        <v>2</v>
      </c>
      <c r="E5" s="5">
        <v>4</v>
      </c>
      <c r="F5" s="5">
        <v>0</v>
      </c>
      <c r="G5" s="5">
        <v>0</v>
      </c>
      <c r="H5" s="5">
        <v>0</v>
      </c>
      <c r="I5" s="6">
        <f t="shared" si="0"/>
        <v>28</v>
      </c>
    </row>
    <row r="6" spans="1:11" x14ac:dyDescent="0.25">
      <c r="A6" s="5" t="s">
        <v>12</v>
      </c>
      <c r="B6" s="5">
        <v>4</v>
      </c>
      <c r="C6" s="5">
        <v>6</v>
      </c>
      <c r="D6" s="5">
        <v>6</v>
      </c>
      <c r="E6" s="5">
        <v>0</v>
      </c>
      <c r="F6" s="5">
        <v>8</v>
      </c>
      <c r="G6" s="5">
        <v>0</v>
      </c>
      <c r="H6" s="5">
        <v>0</v>
      </c>
      <c r="I6" s="6">
        <f t="shared" si="0"/>
        <v>24</v>
      </c>
    </row>
    <row r="7" spans="1:11" x14ac:dyDescent="0.25">
      <c r="A7" s="5" t="s">
        <v>13</v>
      </c>
      <c r="B7" s="5">
        <v>0</v>
      </c>
      <c r="C7" s="5">
        <v>1</v>
      </c>
      <c r="D7" s="5">
        <v>2</v>
      </c>
      <c r="E7" s="5">
        <v>1</v>
      </c>
      <c r="F7" s="5">
        <v>1</v>
      </c>
      <c r="G7" s="5">
        <v>0</v>
      </c>
      <c r="H7" s="5">
        <v>0</v>
      </c>
      <c r="I7" s="6">
        <f t="shared" si="0"/>
        <v>5</v>
      </c>
    </row>
    <row r="8" spans="1:11" x14ac:dyDescent="0.25">
      <c r="A8" s="5" t="s">
        <v>14</v>
      </c>
      <c r="B8" s="5">
        <v>4</v>
      </c>
      <c r="C8" s="5">
        <v>0</v>
      </c>
      <c r="D8" s="5">
        <v>3</v>
      </c>
      <c r="E8" s="5">
        <v>1</v>
      </c>
      <c r="F8" s="5">
        <v>2</v>
      </c>
      <c r="G8" s="5">
        <v>0</v>
      </c>
      <c r="H8" s="5">
        <v>0</v>
      </c>
      <c r="I8" s="6">
        <f t="shared" si="0"/>
        <v>10</v>
      </c>
    </row>
    <row r="9" spans="1:11" x14ac:dyDescent="0.25">
      <c r="A9" s="7" t="s">
        <v>15</v>
      </c>
      <c r="B9" s="7">
        <f t="shared" ref="B9:H9" si="1">SUM(B3:B8)</f>
        <v>163</v>
      </c>
      <c r="C9" s="7">
        <f t="shared" si="1"/>
        <v>172</v>
      </c>
      <c r="D9" s="7">
        <f t="shared" si="1"/>
        <v>171</v>
      </c>
      <c r="E9" s="7">
        <f t="shared" si="1"/>
        <v>140</v>
      </c>
      <c r="F9" s="7">
        <f t="shared" si="1"/>
        <v>158</v>
      </c>
      <c r="G9" s="7">
        <f t="shared" si="1"/>
        <v>53</v>
      </c>
      <c r="H9" s="7">
        <f t="shared" si="1"/>
        <v>0</v>
      </c>
      <c r="I9" s="6">
        <f t="shared" si="0"/>
        <v>857</v>
      </c>
      <c r="J9" s="1"/>
      <c r="K9" s="1"/>
    </row>
    <row r="10" spans="1:11" x14ac:dyDescent="0.25">
      <c r="A10" s="5" t="s">
        <v>27</v>
      </c>
      <c r="B10" s="5">
        <v>0</v>
      </c>
      <c r="C10" s="5">
        <v>0</v>
      </c>
      <c r="D10" s="5">
        <v>2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2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5</v>
      </c>
      <c r="F11" s="5">
        <v>0</v>
      </c>
      <c r="G11" s="5">
        <v>0</v>
      </c>
      <c r="H11" s="5">
        <v>0</v>
      </c>
      <c r="I11" s="6">
        <f t="shared" si="0"/>
        <v>5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45817</v>
      </c>
      <c r="C15" s="4">
        <v>45818</v>
      </c>
      <c r="D15" s="4">
        <v>45819</v>
      </c>
      <c r="E15" s="4">
        <v>45820</v>
      </c>
      <c r="F15" s="4">
        <v>45821</v>
      </c>
      <c r="G15" s="4">
        <v>45822</v>
      </c>
      <c r="H15" s="4">
        <v>45823</v>
      </c>
      <c r="I15" s="2" t="s">
        <v>8</v>
      </c>
    </row>
    <row r="16" spans="1:11" x14ac:dyDescent="0.25">
      <c r="A16" s="5" t="s">
        <v>9</v>
      </c>
      <c r="B16" s="5">
        <v>104</v>
      </c>
      <c r="C16" s="5">
        <v>104</v>
      </c>
      <c r="D16" s="5">
        <v>100</v>
      </c>
      <c r="E16" s="5">
        <v>88</v>
      </c>
      <c r="F16" s="5">
        <v>88</v>
      </c>
      <c r="G16" s="5">
        <v>38</v>
      </c>
      <c r="H16" s="5">
        <v>0</v>
      </c>
      <c r="I16" s="6">
        <f>SUM(B16:H16)</f>
        <v>522</v>
      </c>
    </row>
    <row r="17" spans="1:11" x14ac:dyDescent="0.25">
      <c r="A17" s="5" t="s">
        <v>10</v>
      </c>
      <c r="B17" s="5">
        <v>59</v>
      </c>
      <c r="C17" s="5">
        <v>59</v>
      </c>
      <c r="D17" s="5">
        <v>46</v>
      </c>
      <c r="E17" s="5">
        <v>38</v>
      </c>
      <c r="F17" s="5">
        <v>53</v>
      </c>
      <c r="G17" s="5">
        <v>14</v>
      </c>
      <c r="H17" s="5">
        <v>0</v>
      </c>
      <c r="I17" s="6">
        <f t="shared" ref="I17:I21" si="2">SUM(B17:H17)</f>
        <v>269</v>
      </c>
    </row>
    <row r="18" spans="1:11" x14ac:dyDescent="0.25">
      <c r="A18" s="5" t="s">
        <v>11</v>
      </c>
      <c r="B18" s="5">
        <v>13</v>
      </c>
      <c r="C18" s="5">
        <v>11</v>
      </c>
      <c r="D18" s="5">
        <v>4</v>
      </c>
      <c r="E18" s="5">
        <v>0</v>
      </c>
      <c r="F18" s="5">
        <v>12</v>
      </c>
      <c r="G18" s="5">
        <v>1</v>
      </c>
      <c r="H18" s="5">
        <v>0</v>
      </c>
      <c r="I18" s="6">
        <f t="shared" si="2"/>
        <v>41</v>
      </c>
    </row>
    <row r="19" spans="1:11" x14ac:dyDescent="0.25">
      <c r="A19" s="5" t="s">
        <v>12</v>
      </c>
      <c r="B19" s="5">
        <v>4</v>
      </c>
      <c r="C19" s="5">
        <v>9</v>
      </c>
      <c r="D19" s="5">
        <v>4</v>
      </c>
      <c r="E19" s="5">
        <v>0</v>
      </c>
      <c r="F19" s="5">
        <v>7</v>
      </c>
      <c r="G19" s="5">
        <v>0</v>
      </c>
      <c r="H19" s="5">
        <v>0</v>
      </c>
      <c r="I19" s="6">
        <f t="shared" si="2"/>
        <v>24</v>
      </c>
    </row>
    <row r="20" spans="1:11" x14ac:dyDescent="0.25">
      <c r="A20" s="5" t="s">
        <v>13</v>
      </c>
      <c r="B20" s="5">
        <v>3</v>
      </c>
      <c r="C20" s="5">
        <v>3</v>
      </c>
      <c r="D20" s="5">
        <v>1</v>
      </c>
      <c r="E20" s="5">
        <v>1</v>
      </c>
      <c r="F20" s="5">
        <v>1</v>
      </c>
      <c r="G20" s="5">
        <v>1</v>
      </c>
      <c r="H20" s="5">
        <v>0</v>
      </c>
      <c r="I20" s="6">
        <f t="shared" si="2"/>
        <v>10</v>
      </c>
    </row>
    <row r="21" spans="1:11" x14ac:dyDescent="0.25">
      <c r="A21" s="5" t="s">
        <v>14</v>
      </c>
      <c r="B21" s="5">
        <v>3</v>
      </c>
      <c r="C21" s="5">
        <v>0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6">
        <f t="shared" si="2"/>
        <v>4</v>
      </c>
    </row>
    <row r="22" spans="1:11" x14ac:dyDescent="0.25">
      <c r="A22" s="7" t="s">
        <v>15</v>
      </c>
      <c r="B22" s="7">
        <f t="shared" ref="B22:G22" si="3">SUM(B16:B21)</f>
        <v>186</v>
      </c>
      <c r="C22" s="7">
        <f t="shared" si="3"/>
        <v>186</v>
      </c>
      <c r="D22" s="7">
        <f t="shared" si="3"/>
        <v>155</v>
      </c>
      <c r="E22" s="7">
        <f t="shared" si="3"/>
        <v>127</v>
      </c>
      <c r="F22" s="7">
        <f t="shared" si="3"/>
        <v>162</v>
      </c>
      <c r="G22" s="7">
        <f t="shared" si="3"/>
        <v>54</v>
      </c>
      <c r="H22" s="7">
        <f>SUM(H16:H21)</f>
        <v>0</v>
      </c>
      <c r="I22" s="6">
        <f>SUM(B22:H22)</f>
        <v>870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45824</v>
      </c>
      <c r="C28" s="4">
        <v>45825</v>
      </c>
      <c r="D28" s="4">
        <v>45826</v>
      </c>
      <c r="E28" s="4">
        <v>45827</v>
      </c>
      <c r="F28" s="4">
        <v>45828</v>
      </c>
      <c r="G28" s="4">
        <v>45829</v>
      </c>
      <c r="H28" s="4">
        <v>45830</v>
      </c>
      <c r="I28" s="2" t="s">
        <v>8</v>
      </c>
    </row>
    <row r="29" spans="1:11" x14ac:dyDescent="0.25">
      <c r="A29" s="5" t="s">
        <v>9</v>
      </c>
      <c r="B29" s="5">
        <v>91</v>
      </c>
      <c r="C29" s="5">
        <v>105</v>
      </c>
      <c r="D29" s="5">
        <v>103</v>
      </c>
      <c r="E29" s="5">
        <v>88</v>
      </c>
      <c r="F29" s="5">
        <v>78</v>
      </c>
      <c r="G29" s="5">
        <v>44</v>
      </c>
      <c r="H29" s="5">
        <v>0</v>
      </c>
      <c r="I29" s="6">
        <f t="shared" ref="I29:I37" si="4">SUM(B29:H29)</f>
        <v>509</v>
      </c>
    </row>
    <row r="30" spans="1:11" x14ac:dyDescent="0.25">
      <c r="A30" s="5" t="s">
        <v>10</v>
      </c>
      <c r="B30" s="5">
        <v>46</v>
      </c>
      <c r="C30" s="5">
        <v>57</v>
      </c>
      <c r="D30" s="5">
        <v>62</v>
      </c>
      <c r="E30" s="5">
        <v>52</v>
      </c>
      <c r="F30" s="5">
        <v>49</v>
      </c>
      <c r="G30" s="5">
        <v>13</v>
      </c>
      <c r="H30" s="5">
        <v>0</v>
      </c>
      <c r="I30" s="6">
        <f t="shared" si="4"/>
        <v>279</v>
      </c>
    </row>
    <row r="31" spans="1:11" x14ac:dyDescent="0.25">
      <c r="A31" s="5" t="s">
        <v>11</v>
      </c>
      <c r="B31" s="5">
        <v>9</v>
      </c>
      <c r="C31" s="5">
        <v>11</v>
      </c>
      <c r="D31" s="5">
        <v>19</v>
      </c>
      <c r="E31" s="5">
        <v>1</v>
      </c>
      <c r="F31" s="5">
        <v>1</v>
      </c>
      <c r="G31" s="5">
        <v>0</v>
      </c>
      <c r="H31" s="5">
        <v>0</v>
      </c>
      <c r="I31" s="6">
        <f t="shared" si="4"/>
        <v>41</v>
      </c>
    </row>
    <row r="32" spans="1:11" x14ac:dyDescent="0.25">
      <c r="A32" s="5" t="s">
        <v>12</v>
      </c>
      <c r="B32" s="5">
        <v>5</v>
      </c>
      <c r="C32" s="5">
        <v>5</v>
      </c>
      <c r="D32" s="5">
        <v>6</v>
      </c>
      <c r="E32" s="5">
        <v>0</v>
      </c>
      <c r="F32" s="5">
        <v>5</v>
      </c>
      <c r="G32" s="5">
        <v>0</v>
      </c>
      <c r="H32" s="5">
        <v>0</v>
      </c>
      <c r="I32" s="6">
        <f t="shared" si="4"/>
        <v>21</v>
      </c>
    </row>
    <row r="33" spans="1:11" x14ac:dyDescent="0.25">
      <c r="A33" s="5" t="s">
        <v>13</v>
      </c>
      <c r="B33" s="5">
        <v>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3</v>
      </c>
    </row>
    <row r="34" spans="1:11" x14ac:dyDescent="0.25">
      <c r="A34" s="5" t="s">
        <v>14</v>
      </c>
      <c r="B34" s="5">
        <v>1</v>
      </c>
      <c r="C34" s="5">
        <v>0</v>
      </c>
      <c r="D34" s="5">
        <v>2</v>
      </c>
      <c r="E34" s="5">
        <v>0</v>
      </c>
      <c r="F34" s="5">
        <v>3</v>
      </c>
      <c r="G34" s="5">
        <v>1</v>
      </c>
      <c r="H34" s="5">
        <v>0</v>
      </c>
      <c r="I34" s="6">
        <f t="shared" si="4"/>
        <v>7</v>
      </c>
    </row>
    <row r="35" spans="1:11" x14ac:dyDescent="0.25">
      <c r="A35" s="7" t="s">
        <v>15</v>
      </c>
      <c r="B35" s="7">
        <f t="shared" ref="B35:H35" si="5">SUM(B29:B34)</f>
        <v>155</v>
      </c>
      <c r="C35" s="7">
        <f t="shared" si="5"/>
        <v>178</v>
      </c>
      <c r="D35" s="7">
        <f t="shared" si="5"/>
        <v>192</v>
      </c>
      <c r="E35" s="7">
        <f t="shared" si="5"/>
        <v>141</v>
      </c>
      <c r="F35" s="7">
        <f t="shared" si="5"/>
        <v>136</v>
      </c>
      <c r="G35" s="7">
        <f t="shared" si="5"/>
        <v>58</v>
      </c>
      <c r="H35" s="7">
        <f t="shared" si="5"/>
        <v>0</v>
      </c>
      <c r="I35" s="6">
        <f t="shared" si="4"/>
        <v>860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45831</v>
      </c>
      <c r="C41" s="4">
        <v>45832</v>
      </c>
      <c r="D41" s="4">
        <v>45833</v>
      </c>
      <c r="E41" s="4">
        <v>45834</v>
      </c>
      <c r="F41" s="4">
        <v>45835</v>
      </c>
      <c r="G41" s="4">
        <v>45836</v>
      </c>
      <c r="H41" s="4">
        <v>45837</v>
      </c>
      <c r="I41" s="2" t="s">
        <v>8</v>
      </c>
    </row>
    <row r="42" spans="1:11" x14ac:dyDescent="0.25">
      <c r="A42" s="5" t="s">
        <v>9</v>
      </c>
      <c r="B42" s="5">
        <v>103</v>
      </c>
      <c r="C42" s="5">
        <v>114</v>
      </c>
      <c r="D42" s="5">
        <v>93</v>
      </c>
      <c r="E42" s="5">
        <v>81</v>
      </c>
      <c r="F42" s="5">
        <v>102</v>
      </c>
      <c r="G42" s="5">
        <v>36</v>
      </c>
      <c r="H42" s="5">
        <v>0</v>
      </c>
      <c r="I42" s="6">
        <f t="shared" ref="I42:I50" si="6">SUM(B42:H42)</f>
        <v>529</v>
      </c>
    </row>
    <row r="43" spans="1:11" x14ac:dyDescent="0.25">
      <c r="A43" s="5" t="s">
        <v>10</v>
      </c>
      <c r="B43" s="5">
        <v>54</v>
      </c>
      <c r="C43" s="5">
        <v>49</v>
      </c>
      <c r="D43" s="5">
        <v>55</v>
      </c>
      <c r="E43" s="5">
        <v>40</v>
      </c>
      <c r="F43" s="5">
        <v>60</v>
      </c>
      <c r="G43" s="5">
        <v>18</v>
      </c>
      <c r="H43" s="5">
        <v>0</v>
      </c>
      <c r="I43" s="6">
        <f t="shared" si="6"/>
        <v>276</v>
      </c>
    </row>
    <row r="44" spans="1:11" x14ac:dyDescent="0.25">
      <c r="A44" s="5" t="s">
        <v>11</v>
      </c>
      <c r="B44" s="5">
        <v>14</v>
      </c>
      <c r="C44" s="5">
        <v>4</v>
      </c>
      <c r="D44" s="5">
        <v>11</v>
      </c>
      <c r="E44" s="5">
        <v>2</v>
      </c>
      <c r="F44" s="5">
        <v>0</v>
      </c>
      <c r="G44" s="5">
        <v>0</v>
      </c>
      <c r="H44" s="5">
        <v>0</v>
      </c>
      <c r="I44" s="6">
        <f t="shared" si="6"/>
        <v>31</v>
      </c>
    </row>
    <row r="45" spans="1:11" x14ac:dyDescent="0.25">
      <c r="A45" s="5" t="s">
        <v>12</v>
      </c>
      <c r="B45" s="5">
        <v>5</v>
      </c>
      <c r="C45" s="5">
        <v>5</v>
      </c>
      <c r="D45" s="5">
        <v>6</v>
      </c>
      <c r="E45" s="5">
        <v>0</v>
      </c>
      <c r="F45" s="5">
        <v>8</v>
      </c>
      <c r="G45" s="5">
        <v>0</v>
      </c>
      <c r="H45" s="5">
        <v>0</v>
      </c>
      <c r="I45" s="6">
        <f t="shared" si="6"/>
        <v>24</v>
      </c>
    </row>
    <row r="46" spans="1:11" x14ac:dyDescent="0.25">
      <c r="A46" s="5" t="s">
        <v>13</v>
      </c>
      <c r="B46" s="5">
        <v>4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6"/>
        <v>4</v>
      </c>
    </row>
    <row r="47" spans="1:11" x14ac:dyDescent="0.25">
      <c r="A47" s="5" t="s">
        <v>14</v>
      </c>
      <c r="B47" s="5">
        <v>2</v>
      </c>
      <c r="C47" s="5">
        <v>0</v>
      </c>
      <c r="D47" s="5">
        <v>2</v>
      </c>
      <c r="E47" s="5">
        <v>0</v>
      </c>
      <c r="F47" s="5">
        <v>1</v>
      </c>
      <c r="G47" s="5">
        <v>0</v>
      </c>
      <c r="H47" s="5">
        <v>0</v>
      </c>
      <c r="I47" s="6">
        <f t="shared" si="6"/>
        <v>5</v>
      </c>
    </row>
    <row r="48" spans="1:11" x14ac:dyDescent="0.25">
      <c r="A48" s="7" t="s">
        <v>15</v>
      </c>
      <c r="B48" s="7">
        <f>SUM(B42:B47)</f>
        <v>182</v>
      </c>
      <c r="C48" s="7">
        <f t="shared" ref="C48:H48" si="7">SUM(C42:C47)</f>
        <v>172</v>
      </c>
      <c r="D48" s="7">
        <f t="shared" si="7"/>
        <v>167</v>
      </c>
      <c r="E48" s="7">
        <f t="shared" si="7"/>
        <v>123</v>
      </c>
      <c r="F48" s="7">
        <f t="shared" si="7"/>
        <v>171</v>
      </c>
      <c r="G48" s="7">
        <f t="shared" si="7"/>
        <v>54</v>
      </c>
      <c r="H48" s="7">
        <f t="shared" si="7"/>
        <v>0</v>
      </c>
      <c r="I48" s="6">
        <f t="shared" si="6"/>
        <v>869</v>
      </c>
      <c r="J48" s="1"/>
      <c r="K48" s="1"/>
    </row>
    <row r="49" spans="1:11" x14ac:dyDescent="0.25">
      <c r="A49" s="5" t="s">
        <v>33</v>
      </c>
      <c r="B49" s="5">
        <v>14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14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3456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5"/>
  <sheetViews>
    <sheetView topLeftCell="A10" workbookViewId="0">
      <selection activeCell="J35" sqref="J35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45810</v>
      </c>
      <c r="C2" s="4">
        <v>45811</v>
      </c>
      <c r="D2" s="4">
        <v>45812</v>
      </c>
      <c r="E2" s="4">
        <v>45813</v>
      </c>
      <c r="F2" s="4">
        <v>45814</v>
      </c>
      <c r="G2" s="4">
        <v>45815</v>
      </c>
      <c r="H2" s="3" t="s">
        <v>19</v>
      </c>
    </row>
    <row r="3" spans="1:8" x14ac:dyDescent="0.25">
      <c r="A3" s="5" t="s">
        <v>20</v>
      </c>
      <c r="B3" s="5">
        <v>15</v>
      </c>
      <c r="C3" s="5">
        <v>22</v>
      </c>
      <c r="D3" s="5">
        <v>25</v>
      </c>
      <c r="E3" s="5">
        <v>22</v>
      </c>
      <c r="F3" s="5">
        <v>18</v>
      </c>
      <c r="G3" s="5">
        <v>0</v>
      </c>
      <c r="H3" s="6">
        <f t="shared" ref="H3:H9" si="0">SUM(B3:G3)</f>
        <v>102</v>
      </c>
    </row>
    <row r="4" spans="1:8" x14ac:dyDescent="0.25">
      <c r="A4" s="5" t="s">
        <v>21</v>
      </c>
      <c r="B4" s="5">
        <v>31</v>
      </c>
      <c r="C4" s="5">
        <v>23</v>
      </c>
      <c r="D4" s="5">
        <v>33</v>
      </c>
      <c r="E4" s="5">
        <v>24</v>
      </c>
      <c r="F4" s="5">
        <v>34</v>
      </c>
      <c r="G4" s="5">
        <v>35</v>
      </c>
      <c r="H4" s="6">
        <f t="shared" si="0"/>
        <v>180</v>
      </c>
    </row>
    <row r="5" spans="1:8" x14ac:dyDescent="0.25">
      <c r="A5" s="5" t="s">
        <v>33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36</v>
      </c>
      <c r="C6" s="5">
        <v>55</v>
      </c>
      <c r="D6" s="5">
        <v>41</v>
      </c>
      <c r="E6" s="5">
        <v>41</v>
      </c>
      <c r="F6" s="5">
        <v>40</v>
      </c>
      <c r="G6" s="5">
        <v>0</v>
      </c>
      <c r="H6" s="6">
        <f t="shared" si="0"/>
        <v>213</v>
      </c>
    </row>
    <row r="7" spans="1:8" x14ac:dyDescent="0.25">
      <c r="A7" s="7" t="s">
        <v>15</v>
      </c>
      <c r="B7" s="7">
        <f t="shared" ref="B7:G7" si="1">SUM(B3:B6)</f>
        <v>82</v>
      </c>
      <c r="C7" s="7">
        <f t="shared" si="1"/>
        <v>100</v>
      </c>
      <c r="D7" s="7">
        <f t="shared" si="1"/>
        <v>99</v>
      </c>
      <c r="E7" s="7">
        <f t="shared" si="1"/>
        <v>87</v>
      </c>
      <c r="F7" s="7">
        <f t="shared" si="1"/>
        <v>92</v>
      </c>
      <c r="G7" s="7">
        <f t="shared" si="1"/>
        <v>35</v>
      </c>
      <c r="H7" s="6">
        <f t="shared" si="0"/>
        <v>495</v>
      </c>
    </row>
    <row r="8" spans="1:8" x14ac:dyDescent="0.25">
      <c r="A8" s="5" t="s">
        <v>29</v>
      </c>
      <c r="B8" s="5"/>
      <c r="C8" s="5"/>
      <c r="D8" s="5">
        <v>2</v>
      </c>
      <c r="E8" s="5"/>
      <c r="F8" s="5"/>
      <c r="G8" s="5"/>
      <c r="H8" s="6">
        <f t="shared" si="0"/>
        <v>2</v>
      </c>
    </row>
    <row r="9" spans="1:8" x14ac:dyDescent="0.25">
      <c r="A9" s="5" t="s">
        <v>30</v>
      </c>
      <c r="B9" s="5"/>
      <c r="C9" s="5"/>
      <c r="D9" s="5"/>
      <c r="E9" s="5">
        <v>5</v>
      </c>
      <c r="F9" s="5"/>
      <c r="G9" s="5"/>
      <c r="H9" s="6">
        <f t="shared" si="0"/>
        <v>5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45817</v>
      </c>
      <c r="C11" s="4">
        <v>45818</v>
      </c>
      <c r="D11" s="4">
        <v>45819</v>
      </c>
      <c r="E11" s="4">
        <v>45820</v>
      </c>
      <c r="F11" s="4">
        <v>45821</v>
      </c>
      <c r="G11" s="4">
        <v>45822</v>
      </c>
      <c r="H11" s="3" t="s">
        <v>19</v>
      </c>
    </row>
    <row r="12" spans="1:8" x14ac:dyDescent="0.25">
      <c r="A12" s="5" t="s">
        <v>20</v>
      </c>
      <c r="B12" s="5">
        <v>22</v>
      </c>
      <c r="C12" s="5">
        <v>24</v>
      </c>
      <c r="D12" s="5">
        <v>24</v>
      </c>
      <c r="E12" s="5">
        <v>23</v>
      </c>
      <c r="F12" s="5">
        <v>21</v>
      </c>
      <c r="G12" s="5">
        <v>20</v>
      </c>
      <c r="H12" s="6">
        <f t="shared" ref="H12:H18" si="2">SUM(B12:G12)</f>
        <v>134</v>
      </c>
    </row>
    <row r="13" spans="1:8" x14ac:dyDescent="0.25">
      <c r="A13" s="5" t="s">
        <v>21</v>
      </c>
      <c r="B13" s="5">
        <v>31</v>
      </c>
      <c r="C13" s="5">
        <v>29</v>
      </c>
      <c r="D13" s="5">
        <v>33</v>
      </c>
      <c r="E13" s="5">
        <v>24</v>
      </c>
      <c r="F13" s="5">
        <v>32</v>
      </c>
      <c r="G13" s="5">
        <v>0</v>
      </c>
      <c r="H13" s="6">
        <f>SUM(B13:G13)</f>
        <v>149</v>
      </c>
    </row>
    <row r="14" spans="1:8" x14ac:dyDescent="0.25">
      <c r="A14" s="5" t="s">
        <v>34</v>
      </c>
      <c r="B14" s="5">
        <v>16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16</v>
      </c>
    </row>
    <row r="15" spans="1:8" x14ac:dyDescent="0.25">
      <c r="A15" s="5" t="s">
        <v>23</v>
      </c>
      <c r="B15" s="5">
        <v>35</v>
      </c>
      <c r="C15" s="5">
        <v>51</v>
      </c>
      <c r="D15" s="5">
        <v>43</v>
      </c>
      <c r="E15" s="5">
        <v>41</v>
      </c>
      <c r="F15" s="5">
        <v>35</v>
      </c>
      <c r="G15" s="5">
        <v>18</v>
      </c>
      <c r="H15" s="6">
        <f t="shared" si="2"/>
        <v>223</v>
      </c>
    </row>
    <row r="16" spans="1:8" x14ac:dyDescent="0.25">
      <c r="A16" s="7" t="s">
        <v>15</v>
      </c>
      <c r="B16" s="7">
        <f t="shared" ref="B16:G16" si="3">SUM(B12:B15)</f>
        <v>104</v>
      </c>
      <c r="C16" s="7">
        <f t="shared" si="3"/>
        <v>104</v>
      </c>
      <c r="D16" s="7">
        <f t="shared" si="3"/>
        <v>100</v>
      </c>
      <c r="E16" s="7">
        <f>SUM(E12:E15)</f>
        <v>88</v>
      </c>
      <c r="F16" s="7">
        <f t="shared" si="3"/>
        <v>88</v>
      </c>
      <c r="G16" s="7">
        <f t="shared" si="3"/>
        <v>38</v>
      </c>
      <c r="H16" s="6">
        <f t="shared" si="2"/>
        <v>522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45824</v>
      </c>
      <c r="C20" s="4">
        <v>45825</v>
      </c>
      <c r="D20" s="4">
        <v>45826</v>
      </c>
      <c r="E20" s="4">
        <v>45827</v>
      </c>
      <c r="F20" s="4">
        <v>45828</v>
      </c>
      <c r="G20" s="4">
        <v>45829</v>
      </c>
      <c r="H20" s="3" t="s">
        <v>19</v>
      </c>
    </row>
    <row r="21" spans="1:8" x14ac:dyDescent="0.25">
      <c r="A21" s="5" t="s">
        <v>20</v>
      </c>
      <c r="B21" s="5">
        <v>19</v>
      </c>
      <c r="C21" s="5">
        <v>25</v>
      </c>
      <c r="D21" s="5">
        <v>23</v>
      </c>
      <c r="E21" s="5">
        <v>27</v>
      </c>
      <c r="F21" s="5">
        <v>19</v>
      </c>
      <c r="G21" s="5">
        <v>0</v>
      </c>
      <c r="H21" s="6">
        <f t="shared" ref="H21:H27" si="4">SUM(B21:G21)</f>
        <v>113</v>
      </c>
    </row>
    <row r="22" spans="1:8" x14ac:dyDescent="0.25">
      <c r="A22" s="5" t="s">
        <v>21</v>
      </c>
      <c r="B22" s="5">
        <v>23</v>
      </c>
      <c r="C22" s="5">
        <v>28</v>
      </c>
      <c r="D22" s="5">
        <v>32</v>
      </c>
      <c r="E22" s="5">
        <v>21</v>
      </c>
      <c r="F22" s="5">
        <v>23</v>
      </c>
      <c r="G22" s="5">
        <v>21</v>
      </c>
      <c r="H22" s="6">
        <f t="shared" si="4"/>
        <v>148</v>
      </c>
    </row>
    <row r="23" spans="1:8" x14ac:dyDescent="0.25">
      <c r="A23" s="5" t="s">
        <v>33</v>
      </c>
      <c r="B23" s="5">
        <v>9</v>
      </c>
      <c r="C23" s="5">
        <v>0</v>
      </c>
      <c r="D23" s="5">
        <v>0</v>
      </c>
      <c r="E23" s="5">
        <v>0</v>
      </c>
      <c r="F23" s="5">
        <v>0</v>
      </c>
      <c r="G23" s="5">
        <v>2</v>
      </c>
      <c r="H23" s="6">
        <f t="shared" si="4"/>
        <v>11</v>
      </c>
    </row>
    <row r="24" spans="1:8" x14ac:dyDescent="0.25">
      <c r="A24" s="5" t="s">
        <v>23</v>
      </c>
      <c r="B24" s="5">
        <v>40</v>
      </c>
      <c r="C24" s="5">
        <v>52</v>
      </c>
      <c r="D24" s="5">
        <v>48</v>
      </c>
      <c r="E24" s="5">
        <v>40</v>
      </c>
      <c r="F24" s="5">
        <v>36</v>
      </c>
      <c r="G24" s="5">
        <v>21</v>
      </c>
      <c r="H24" s="6">
        <f t="shared" si="4"/>
        <v>237</v>
      </c>
    </row>
    <row r="25" spans="1:8" x14ac:dyDescent="0.25">
      <c r="A25" s="7" t="s">
        <v>15</v>
      </c>
      <c r="B25" s="7">
        <f t="shared" ref="B25:G25" si="5">SUM(B21:B24)</f>
        <v>91</v>
      </c>
      <c r="C25" s="7">
        <f t="shared" si="5"/>
        <v>105</v>
      </c>
      <c r="D25" s="7">
        <f t="shared" si="5"/>
        <v>103</v>
      </c>
      <c r="E25" s="7">
        <f>SUM(E21:E24)</f>
        <v>88</v>
      </c>
      <c r="F25" s="7">
        <f t="shared" si="5"/>
        <v>78</v>
      </c>
      <c r="G25" s="7">
        <f t="shared" si="5"/>
        <v>44</v>
      </c>
      <c r="H25" s="6">
        <f t="shared" si="4"/>
        <v>509</v>
      </c>
    </row>
    <row r="26" spans="1:8" x14ac:dyDescent="0.25">
      <c r="A26" s="5" t="s">
        <v>24</v>
      </c>
      <c r="B26" s="5">
        <v>9</v>
      </c>
      <c r="C26" s="5">
        <v>4</v>
      </c>
      <c r="D26" s="5">
        <v>21</v>
      </c>
      <c r="E26" s="5">
        <v>0</v>
      </c>
      <c r="F26" s="5">
        <v>1</v>
      </c>
      <c r="G26" s="5"/>
      <c r="H26" s="6">
        <f t="shared" si="4"/>
        <v>35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45831</v>
      </c>
      <c r="C29" s="4">
        <v>45832</v>
      </c>
      <c r="D29" s="4">
        <v>45833</v>
      </c>
      <c r="E29" s="4">
        <v>45834</v>
      </c>
      <c r="F29" s="4">
        <v>45835</v>
      </c>
      <c r="G29" s="4">
        <v>45836</v>
      </c>
      <c r="H29" s="3" t="s">
        <v>19</v>
      </c>
    </row>
    <row r="30" spans="1:8" x14ac:dyDescent="0.25">
      <c r="A30" s="5" t="s">
        <v>20</v>
      </c>
      <c r="B30" s="5">
        <v>21</v>
      </c>
      <c r="C30" s="5">
        <v>20</v>
      </c>
      <c r="D30" s="5">
        <v>0</v>
      </c>
      <c r="E30" s="5">
        <v>21</v>
      </c>
      <c r="F30" s="5">
        <v>28</v>
      </c>
      <c r="G30" s="5">
        <v>17</v>
      </c>
      <c r="H30" s="6">
        <f>SUM(B30:G30)</f>
        <v>107</v>
      </c>
    </row>
    <row r="31" spans="1:8" x14ac:dyDescent="0.25">
      <c r="A31" s="5" t="s">
        <v>21</v>
      </c>
      <c r="B31" s="5">
        <v>28</v>
      </c>
      <c r="C31" s="5">
        <v>34</v>
      </c>
      <c r="D31" s="5">
        <v>39</v>
      </c>
      <c r="E31" s="5">
        <v>17</v>
      </c>
      <c r="F31" s="5">
        <v>28</v>
      </c>
      <c r="G31" s="5">
        <v>0</v>
      </c>
      <c r="H31" s="6">
        <f t="shared" ref="H31:H36" si="6">SUM(B31:G31)</f>
        <v>146</v>
      </c>
    </row>
    <row r="32" spans="1:8" x14ac:dyDescent="0.25">
      <c r="A32" s="5" t="s">
        <v>33</v>
      </c>
      <c r="B32" s="5">
        <v>14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14</v>
      </c>
    </row>
    <row r="33" spans="1:8" x14ac:dyDescent="0.25">
      <c r="A33" s="5" t="s">
        <v>23</v>
      </c>
      <c r="B33" s="5">
        <v>40</v>
      </c>
      <c r="C33" s="5">
        <v>60</v>
      </c>
      <c r="D33" s="5">
        <v>54</v>
      </c>
      <c r="E33" s="5">
        <v>43</v>
      </c>
      <c r="F33" s="5">
        <v>46</v>
      </c>
      <c r="G33" s="5">
        <v>19</v>
      </c>
      <c r="H33" s="6">
        <f t="shared" si="6"/>
        <v>262</v>
      </c>
    </row>
    <row r="34" spans="1:8" x14ac:dyDescent="0.25">
      <c r="A34" s="7" t="s">
        <v>15</v>
      </c>
      <c r="B34" s="7">
        <f t="shared" ref="B34:G34" si="7">SUM(B30:B33)</f>
        <v>103</v>
      </c>
      <c r="C34" s="7">
        <f t="shared" si="7"/>
        <v>114</v>
      </c>
      <c r="D34" s="7">
        <f t="shared" si="7"/>
        <v>93</v>
      </c>
      <c r="E34" s="7">
        <f t="shared" si="7"/>
        <v>81</v>
      </c>
      <c r="F34" s="7">
        <f t="shared" si="7"/>
        <v>102</v>
      </c>
      <c r="G34" s="7">
        <f t="shared" si="7"/>
        <v>36</v>
      </c>
      <c r="H34" s="6">
        <f t="shared" si="6"/>
        <v>529</v>
      </c>
    </row>
    <row r="35" spans="1:8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28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62"/>
  <sheetViews>
    <sheetView topLeftCell="A31" workbookViewId="0">
      <selection activeCell="L55" sqref="L55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45838</v>
      </c>
      <c r="C2" s="4">
        <v>45839</v>
      </c>
      <c r="D2" s="4">
        <v>45840</v>
      </c>
      <c r="E2" s="4">
        <v>45841</v>
      </c>
      <c r="F2" s="4">
        <v>45842</v>
      </c>
      <c r="G2" s="4">
        <v>45843</v>
      </c>
      <c r="H2" s="4">
        <v>45844</v>
      </c>
      <c r="I2" s="2" t="s">
        <v>8</v>
      </c>
    </row>
    <row r="3" spans="1:11" x14ac:dyDescent="0.25">
      <c r="A3" s="5" t="s">
        <v>9</v>
      </c>
      <c r="B3" s="5">
        <v>97</v>
      </c>
      <c r="C3" s="5">
        <v>103</v>
      </c>
      <c r="D3" s="5">
        <v>116</v>
      </c>
      <c r="E3" s="5">
        <v>100</v>
      </c>
      <c r="F3" s="5">
        <v>0</v>
      </c>
      <c r="G3" s="5">
        <v>0</v>
      </c>
      <c r="H3" s="5">
        <v>0</v>
      </c>
      <c r="I3" s="6">
        <f t="shared" ref="I3:I11" si="0">SUM(B3:H3)</f>
        <v>416</v>
      </c>
    </row>
    <row r="4" spans="1:11" x14ac:dyDescent="0.25">
      <c r="A4" s="5" t="s">
        <v>10</v>
      </c>
      <c r="B4" s="5">
        <v>52</v>
      </c>
      <c r="C4" s="5">
        <v>61</v>
      </c>
      <c r="D4" s="5">
        <v>81</v>
      </c>
      <c r="E4" s="5">
        <v>45</v>
      </c>
      <c r="F4" s="5">
        <v>0</v>
      </c>
      <c r="G4" s="5">
        <v>17</v>
      </c>
      <c r="H4" s="5">
        <v>0</v>
      </c>
      <c r="I4" s="6">
        <f t="shared" si="0"/>
        <v>256</v>
      </c>
    </row>
    <row r="5" spans="1:11" x14ac:dyDescent="0.25">
      <c r="A5" s="5" t="s">
        <v>11</v>
      </c>
      <c r="B5" s="5">
        <v>10</v>
      </c>
      <c r="C5" s="5">
        <v>0</v>
      </c>
      <c r="D5" s="5">
        <v>14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24</v>
      </c>
    </row>
    <row r="6" spans="1:11" x14ac:dyDescent="0.25">
      <c r="A6" s="5" t="s">
        <v>12</v>
      </c>
      <c r="B6" s="5">
        <v>6</v>
      </c>
      <c r="C6" s="5">
        <v>5</v>
      </c>
      <c r="D6" s="5">
        <v>8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19</v>
      </c>
    </row>
    <row r="7" spans="1:11" x14ac:dyDescent="0.25">
      <c r="A7" s="5" t="s">
        <v>13</v>
      </c>
      <c r="B7" s="5">
        <v>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3</v>
      </c>
    </row>
    <row r="8" spans="1:11" x14ac:dyDescent="0.25">
      <c r="A8" s="5" t="s">
        <v>14</v>
      </c>
      <c r="B8" s="5">
        <v>1</v>
      </c>
      <c r="C8" s="5">
        <v>0</v>
      </c>
      <c r="D8" s="5">
        <v>2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3</v>
      </c>
    </row>
    <row r="9" spans="1:11" x14ac:dyDescent="0.25">
      <c r="A9" s="7" t="s">
        <v>15</v>
      </c>
      <c r="B9" s="7">
        <f t="shared" ref="B9:H9" si="1">SUM(B3:B8)</f>
        <v>169</v>
      </c>
      <c r="C9" s="7">
        <f t="shared" si="1"/>
        <v>169</v>
      </c>
      <c r="D9" s="7">
        <f t="shared" si="1"/>
        <v>221</v>
      </c>
      <c r="E9" s="7">
        <f t="shared" si="1"/>
        <v>145</v>
      </c>
      <c r="F9" s="7">
        <f t="shared" si="1"/>
        <v>0</v>
      </c>
      <c r="G9" s="7">
        <f t="shared" si="1"/>
        <v>17</v>
      </c>
      <c r="H9" s="7">
        <f t="shared" si="1"/>
        <v>0</v>
      </c>
      <c r="I9" s="6">
        <f t="shared" si="0"/>
        <v>721</v>
      </c>
      <c r="J9" s="1"/>
      <c r="K9" s="1"/>
    </row>
    <row r="10" spans="1:11" x14ac:dyDescent="0.2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45845</v>
      </c>
      <c r="C15" s="4">
        <v>45846</v>
      </c>
      <c r="D15" s="4">
        <v>45847</v>
      </c>
      <c r="E15" s="4">
        <v>45848</v>
      </c>
      <c r="F15" s="4">
        <v>45849</v>
      </c>
      <c r="G15" s="4">
        <v>45850</v>
      </c>
      <c r="H15" s="4">
        <v>45851</v>
      </c>
      <c r="I15" s="2" t="s">
        <v>8</v>
      </c>
    </row>
    <row r="16" spans="1:11" x14ac:dyDescent="0.25">
      <c r="A16" s="5" t="s">
        <v>9</v>
      </c>
      <c r="B16" s="5">
        <v>111</v>
      </c>
      <c r="C16" s="5">
        <v>99</v>
      </c>
      <c r="D16" s="5">
        <v>101</v>
      </c>
      <c r="E16" s="5">
        <v>62</v>
      </c>
      <c r="F16" s="5">
        <v>71</v>
      </c>
      <c r="G16" s="5">
        <v>44</v>
      </c>
      <c r="H16" s="5">
        <v>0</v>
      </c>
      <c r="I16" s="6">
        <f>SUM(B16:H16)</f>
        <v>488</v>
      </c>
    </row>
    <row r="17" spans="1:11" x14ac:dyDescent="0.25">
      <c r="A17" s="5" t="s">
        <v>10</v>
      </c>
      <c r="B17" s="5">
        <v>56</v>
      </c>
      <c r="C17" s="5">
        <v>53</v>
      </c>
      <c r="D17" s="5">
        <v>60</v>
      </c>
      <c r="E17" s="5">
        <v>35</v>
      </c>
      <c r="F17" s="5">
        <v>48</v>
      </c>
      <c r="G17" s="5">
        <v>15</v>
      </c>
      <c r="H17" s="5">
        <v>0</v>
      </c>
      <c r="I17" s="6">
        <f t="shared" ref="I17:I21" si="2">SUM(B17:H17)</f>
        <v>267</v>
      </c>
    </row>
    <row r="18" spans="1:11" x14ac:dyDescent="0.25">
      <c r="A18" s="5" t="s">
        <v>11</v>
      </c>
      <c r="B18" s="5">
        <v>13</v>
      </c>
      <c r="C18" s="5">
        <v>3</v>
      </c>
      <c r="D18" s="5">
        <v>11</v>
      </c>
      <c r="E18" s="5">
        <v>0</v>
      </c>
      <c r="F18" s="5">
        <v>16</v>
      </c>
      <c r="G18" s="5">
        <v>0</v>
      </c>
      <c r="H18" s="5">
        <v>0</v>
      </c>
      <c r="I18" s="6">
        <f t="shared" si="2"/>
        <v>43</v>
      </c>
    </row>
    <row r="19" spans="1:11" x14ac:dyDescent="0.25">
      <c r="A19" s="5" t="s">
        <v>12</v>
      </c>
      <c r="B19" s="5">
        <v>9</v>
      </c>
      <c r="C19" s="5">
        <v>7</v>
      </c>
      <c r="D19" s="5">
        <v>5</v>
      </c>
      <c r="E19" s="5">
        <v>0</v>
      </c>
      <c r="F19" s="5">
        <v>9</v>
      </c>
      <c r="G19" s="5">
        <v>0</v>
      </c>
      <c r="H19" s="5">
        <v>0</v>
      </c>
      <c r="I19" s="6">
        <f t="shared" si="2"/>
        <v>30</v>
      </c>
    </row>
    <row r="20" spans="1:11" x14ac:dyDescent="0.25">
      <c r="A20" s="5" t="s">
        <v>13</v>
      </c>
      <c r="B20" s="5">
        <v>2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4</v>
      </c>
    </row>
    <row r="21" spans="1:11" x14ac:dyDescent="0.25">
      <c r="A21" s="5" t="s">
        <v>14</v>
      </c>
      <c r="B21" s="5">
        <v>0</v>
      </c>
      <c r="C21" s="5">
        <v>2</v>
      </c>
      <c r="D21" s="5">
        <v>0</v>
      </c>
      <c r="E21" s="5">
        <v>0</v>
      </c>
      <c r="F21" s="5">
        <v>3</v>
      </c>
      <c r="G21" s="5">
        <v>0</v>
      </c>
      <c r="H21" s="5">
        <v>0</v>
      </c>
      <c r="I21" s="6">
        <f t="shared" si="2"/>
        <v>5</v>
      </c>
    </row>
    <row r="22" spans="1:11" x14ac:dyDescent="0.25">
      <c r="A22" s="7" t="s">
        <v>15</v>
      </c>
      <c r="B22" s="7">
        <f t="shared" ref="B22:G22" si="3">SUM(B16:B21)</f>
        <v>191</v>
      </c>
      <c r="C22" s="7">
        <f t="shared" si="3"/>
        <v>165</v>
      </c>
      <c r="D22" s="7">
        <f t="shared" si="3"/>
        <v>178</v>
      </c>
      <c r="E22" s="7">
        <f t="shared" si="3"/>
        <v>97</v>
      </c>
      <c r="F22" s="7">
        <f t="shared" si="3"/>
        <v>147</v>
      </c>
      <c r="G22" s="7">
        <f t="shared" si="3"/>
        <v>59</v>
      </c>
      <c r="H22" s="7">
        <f>SUM(H16:H21)</f>
        <v>0</v>
      </c>
      <c r="I22" s="6">
        <f>SUM(B22:H22)</f>
        <v>837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45852</v>
      </c>
      <c r="C28" s="4">
        <v>45853</v>
      </c>
      <c r="D28" s="4">
        <v>45854</v>
      </c>
      <c r="E28" s="4">
        <v>45855</v>
      </c>
      <c r="F28" s="4">
        <v>45856</v>
      </c>
      <c r="G28" s="4">
        <v>45857</v>
      </c>
      <c r="H28" s="4">
        <v>45858</v>
      </c>
      <c r="I28" s="2" t="s">
        <v>8</v>
      </c>
    </row>
    <row r="29" spans="1:11" x14ac:dyDescent="0.25">
      <c r="A29" s="5" t="s">
        <v>9</v>
      </c>
      <c r="B29" s="5">
        <v>102</v>
      </c>
      <c r="C29" s="5">
        <v>102</v>
      </c>
      <c r="D29" s="5">
        <v>103</v>
      </c>
      <c r="E29" s="5">
        <v>109</v>
      </c>
      <c r="F29" s="5">
        <v>82</v>
      </c>
      <c r="G29" s="5">
        <v>32</v>
      </c>
      <c r="H29" s="5">
        <v>0</v>
      </c>
      <c r="I29" s="6">
        <f t="shared" ref="I29:I37" si="4">SUM(B29:H29)</f>
        <v>530</v>
      </c>
    </row>
    <row r="30" spans="1:11" x14ac:dyDescent="0.25">
      <c r="A30" s="5" t="s">
        <v>10</v>
      </c>
      <c r="B30" s="5">
        <v>56</v>
      </c>
      <c r="C30" s="5">
        <v>55</v>
      </c>
      <c r="D30" s="5">
        <v>68</v>
      </c>
      <c r="E30" s="5">
        <v>44</v>
      </c>
      <c r="F30" s="5">
        <v>58</v>
      </c>
      <c r="G30" s="5">
        <v>15</v>
      </c>
      <c r="H30" s="5">
        <v>0</v>
      </c>
      <c r="I30" s="6">
        <f t="shared" si="4"/>
        <v>296</v>
      </c>
    </row>
    <row r="31" spans="1:11" x14ac:dyDescent="0.25">
      <c r="A31" s="5" t="s">
        <v>11</v>
      </c>
      <c r="B31" s="5">
        <v>15</v>
      </c>
      <c r="C31" s="5">
        <v>0</v>
      </c>
      <c r="D31" s="5">
        <v>0</v>
      </c>
      <c r="E31" s="5">
        <v>0</v>
      </c>
      <c r="F31" s="5">
        <v>15</v>
      </c>
      <c r="G31" s="5">
        <v>0</v>
      </c>
      <c r="H31" s="5">
        <v>0</v>
      </c>
      <c r="I31" s="6">
        <f t="shared" si="4"/>
        <v>30</v>
      </c>
    </row>
    <row r="32" spans="1:11" x14ac:dyDescent="0.25">
      <c r="A32" s="5" t="s">
        <v>12</v>
      </c>
      <c r="B32" s="5">
        <v>6</v>
      </c>
      <c r="C32" s="5">
        <v>6</v>
      </c>
      <c r="D32" s="5">
        <v>7</v>
      </c>
      <c r="E32" s="5">
        <v>0</v>
      </c>
      <c r="F32" s="5">
        <v>7</v>
      </c>
      <c r="G32" s="5">
        <v>0</v>
      </c>
      <c r="H32" s="5">
        <v>0</v>
      </c>
      <c r="I32" s="6">
        <f t="shared" si="4"/>
        <v>26</v>
      </c>
    </row>
    <row r="33" spans="1:11" x14ac:dyDescent="0.25">
      <c r="A33" s="5" t="s">
        <v>13</v>
      </c>
      <c r="B33" s="5">
        <v>1</v>
      </c>
      <c r="C33" s="5">
        <v>1</v>
      </c>
      <c r="D33" s="5">
        <v>0</v>
      </c>
      <c r="E33" s="5">
        <v>1</v>
      </c>
      <c r="F33" s="5">
        <v>1</v>
      </c>
      <c r="G33" s="5">
        <v>0</v>
      </c>
      <c r="H33" s="5">
        <v>0</v>
      </c>
      <c r="I33" s="6">
        <f t="shared" si="4"/>
        <v>4</v>
      </c>
    </row>
    <row r="34" spans="1:11" x14ac:dyDescent="0.25">
      <c r="A34" s="5" t="s">
        <v>14</v>
      </c>
      <c r="B34" s="5">
        <v>3</v>
      </c>
      <c r="C34" s="5">
        <v>0</v>
      </c>
      <c r="D34" s="5">
        <v>1</v>
      </c>
      <c r="E34" s="5">
        <v>0</v>
      </c>
      <c r="F34" s="5">
        <v>1</v>
      </c>
      <c r="G34" s="5">
        <v>0</v>
      </c>
      <c r="H34" s="5">
        <v>0</v>
      </c>
      <c r="I34" s="6">
        <f t="shared" si="4"/>
        <v>5</v>
      </c>
    </row>
    <row r="35" spans="1:11" x14ac:dyDescent="0.25">
      <c r="A35" s="7" t="s">
        <v>15</v>
      </c>
      <c r="B35" s="7">
        <f t="shared" ref="B35:H35" si="5">SUM(B29:B34)</f>
        <v>183</v>
      </c>
      <c r="C35" s="7">
        <f t="shared" si="5"/>
        <v>164</v>
      </c>
      <c r="D35" s="7">
        <f t="shared" si="5"/>
        <v>179</v>
      </c>
      <c r="E35" s="7">
        <f t="shared" si="5"/>
        <v>154</v>
      </c>
      <c r="F35" s="7">
        <f t="shared" si="5"/>
        <v>164</v>
      </c>
      <c r="G35" s="7">
        <f t="shared" si="5"/>
        <v>47</v>
      </c>
      <c r="H35" s="7">
        <f t="shared" si="5"/>
        <v>0</v>
      </c>
      <c r="I35" s="6">
        <f t="shared" si="4"/>
        <v>891</v>
      </c>
      <c r="J35" s="1"/>
      <c r="K35" s="1"/>
    </row>
    <row r="36" spans="1:11" x14ac:dyDescent="0.25">
      <c r="A36" s="5" t="s">
        <v>36</v>
      </c>
      <c r="B36" s="5">
        <v>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9</v>
      </c>
    </row>
    <row r="37" spans="1:11" x14ac:dyDescent="0.25">
      <c r="A37" s="5" t="s">
        <v>31</v>
      </c>
      <c r="B37" s="5">
        <v>0</v>
      </c>
      <c r="C37" s="5">
        <v>0</v>
      </c>
      <c r="D37" s="5">
        <v>0</v>
      </c>
      <c r="E37" s="5">
        <v>8</v>
      </c>
      <c r="F37" s="5">
        <v>0</v>
      </c>
      <c r="G37" s="5">
        <v>0</v>
      </c>
      <c r="H37" s="5">
        <v>0</v>
      </c>
      <c r="I37" s="6">
        <f t="shared" si="4"/>
        <v>8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45859</v>
      </c>
      <c r="C41" s="4">
        <v>45860</v>
      </c>
      <c r="D41" s="4">
        <v>45861</v>
      </c>
      <c r="E41" s="4">
        <v>45862</v>
      </c>
      <c r="F41" s="4">
        <v>45863</v>
      </c>
      <c r="G41" s="4">
        <v>45864</v>
      </c>
      <c r="H41" s="4">
        <v>45865</v>
      </c>
      <c r="I41" s="2" t="s">
        <v>8</v>
      </c>
    </row>
    <row r="42" spans="1:11" x14ac:dyDescent="0.25">
      <c r="A42" s="5" t="s">
        <v>9</v>
      </c>
      <c r="B42" s="5">
        <v>112</v>
      </c>
      <c r="C42" s="5">
        <v>94</v>
      </c>
      <c r="D42" s="5">
        <v>108</v>
      </c>
      <c r="E42" s="5">
        <v>97</v>
      </c>
      <c r="F42" s="5">
        <v>78</v>
      </c>
      <c r="G42" s="5">
        <v>38</v>
      </c>
      <c r="H42" s="5">
        <v>0</v>
      </c>
      <c r="I42" s="6">
        <f t="shared" ref="I42:I50" si="6">SUM(B42:H42)</f>
        <v>527</v>
      </c>
    </row>
    <row r="43" spans="1:11" x14ac:dyDescent="0.25">
      <c r="A43" s="5" t="s">
        <v>10</v>
      </c>
      <c r="B43" s="5">
        <v>48</v>
      </c>
      <c r="C43" s="5">
        <v>47</v>
      </c>
      <c r="D43" s="5">
        <v>55</v>
      </c>
      <c r="E43" s="5">
        <v>40</v>
      </c>
      <c r="F43" s="5">
        <v>56</v>
      </c>
      <c r="G43" s="5">
        <v>29</v>
      </c>
      <c r="H43" s="5">
        <v>0</v>
      </c>
      <c r="I43" s="6">
        <f t="shared" si="6"/>
        <v>275</v>
      </c>
    </row>
    <row r="44" spans="1:11" x14ac:dyDescent="0.25">
      <c r="A44" s="5" t="s">
        <v>11</v>
      </c>
      <c r="B44" s="5">
        <v>21</v>
      </c>
      <c r="C44" s="5">
        <v>13</v>
      </c>
      <c r="D44" s="5">
        <v>6</v>
      </c>
      <c r="E44" s="5">
        <v>0</v>
      </c>
      <c r="F44" s="5">
        <v>9</v>
      </c>
      <c r="G44" s="5">
        <v>0</v>
      </c>
      <c r="H44" s="5">
        <v>0</v>
      </c>
      <c r="I44" s="6">
        <f t="shared" si="6"/>
        <v>49</v>
      </c>
    </row>
    <row r="45" spans="1:11" x14ac:dyDescent="0.25">
      <c r="A45" s="5" t="s">
        <v>12</v>
      </c>
      <c r="B45" s="5">
        <v>6</v>
      </c>
      <c r="C45" s="5">
        <v>7</v>
      </c>
      <c r="D45" s="5">
        <v>6</v>
      </c>
      <c r="E45" s="5">
        <v>0</v>
      </c>
      <c r="F45" s="5">
        <v>8</v>
      </c>
      <c r="G45" s="5">
        <v>0</v>
      </c>
      <c r="H45" s="5">
        <v>0</v>
      </c>
      <c r="I45" s="6">
        <f t="shared" si="6"/>
        <v>27</v>
      </c>
    </row>
    <row r="46" spans="1:11" x14ac:dyDescent="0.25">
      <c r="A46" s="5" t="s">
        <v>13</v>
      </c>
      <c r="B46" s="5">
        <v>3</v>
      </c>
      <c r="C46" s="5">
        <v>0</v>
      </c>
      <c r="D46" s="5">
        <v>3</v>
      </c>
      <c r="E46" s="5">
        <v>1</v>
      </c>
      <c r="F46" s="5">
        <v>0</v>
      </c>
      <c r="G46" s="5">
        <v>3</v>
      </c>
      <c r="H46" s="5">
        <v>0</v>
      </c>
      <c r="I46" s="6">
        <f t="shared" si="6"/>
        <v>10</v>
      </c>
    </row>
    <row r="47" spans="1:11" x14ac:dyDescent="0.25">
      <c r="A47" s="5" t="s">
        <v>14</v>
      </c>
      <c r="B47" s="5">
        <v>1</v>
      </c>
      <c r="C47" s="5">
        <v>0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2</v>
      </c>
    </row>
    <row r="48" spans="1:11" x14ac:dyDescent="0.25">
      <c r="A48" s="7" t="s">
        <v>15</v>
      </c>
      <c r="B48" s="7">
        <f>SUM(B42:B47)</f>
        <v>191</v>
      </c>
      <c r="C48" s="7">
        <f t="shared" ref="C48:H48" si="7">SUM(C42:C47)</f>
        <v>161</v>
      </c>
      <c r="D48" s="7">
        <f t="shared" si="7"/>
        <v>179</v>
      </c>
      <c r="E48" s="7">
        <f t="shared" si="7"/>
        <v>138</v>
      </c>
      <c r="F48" s="7">
        <f t="shared" si="7"/>
        <v>151</v>
      </c>
      <c r="G48" s="7">
        <f t="shared" si="7"/>
        <v>70</v>
      </c>
      <c r="H48" s="7">
        <f t="shared" si="7"/>
        <v>0</v>
      </c>
      <c r="I48" s="6">
        <f t="shared" si="6"/>
        <v>890</v>
      </c>
      <c r="J48" s="1"/>
      <c r="K48" s="1"/>
    </row>
    <row r="49" spans="1:11" x14ac:dyDescent="0.25">
      <c r="A49" s="5" t="s">
        <v>33</v>
      </c>
      <c r="B49" s="5">
        <v>9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9</v>
      </c>
    </row>
    <row r="50" spans="1:11" x14ac:dyDescent="0.25">
      <c r="A50" s="5" t="s">
        <v>37</v>
      </c>
      <c r="B50" s="5">
        <v>0</v>
      </c>
      <c r="C50" s="5">
        <v>4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4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45866</v>
      </c>
      <c r="C53" s="4">
        <v>45867</v>
      </c>
      <c r="D53" s="4">
        <v>45868</v>
      </c>
      <c r="E53" s="4">
        <v>45869</v>
      </c>
      <c r="F53" s="4">
        <v>45870</v>
      </c>
      <c r="G53" s="4">
        <v>45871</v>
      </c>
      <c r="H53" s="4">
        <v>45872</v>
      </c>
      <c r="I53" s="2" t="s">
        <v>8</v>
      </c>
    </row>
    <row r="54" spans="1:11" x14ac:dyDescent="0.25">
      <c r="A54" s="5" t="s">
        <v>9</v>
      </c>
      <c r="B54" s="5">
        <v>105</v>
      </c>
      <c r="C54" s="5">
        <v>93</v>
      </c>
      <c r="D54" s="5">
        <v>109</v>
      </c>
      <c r="E54" s="5">
        <v>87</v>
      </c>
      <c r="F54" s="5">
        <v>86</v>
      </c>
      <c r="G54" s="5">
        <v>38</v>
      </c>
      <c r="H54" s="5">
        <v>0</v>
      </c>
      <c r="I54" s="6">
        <f t="shared" ref="I54:I62" si="8">SUM(B54:H54)</f>
        <v>518</v>
      </c>
    </row>
    <row r="55" spans="1:11" x14ac:dyDescent="0.25">
      <c r="A55" s="5" t="s">
        <v>10</v>
      </c>
      <c r="B55" s="5">
        <v>71</v>
      </c>
      <c r="C55" s="5">
        <v>52</v>
      </c>
      <c r="D55" s="5">
        <v>66</v>
      </c>
      <c r="E55" s="5">
        <v>40</v>
      </c>
      <c r="F55" s="5">
        <v>52</v>
      </c>
      <c r="G55" s="5">
        <v>15</v>
      </c>
      <c r="H55" s="5">
        <v>1</v>
      </c>
      <c r="I55" s="6">
        <f t="shared" si="8"/>
        <v>297</v>
      </c>
    </row>
    <row r="56" spans="1:11" x14ac:dyDescent="0.25">
      <c r="A56" s="5" t="s">
        <v>11</v>
      </c>
      <c r="B56" s="5">
        <v>15</v>
      </c>
      <c r="C56" s="5">
        <v>9</v>
      </c>
      <c r="D56" s="5">
        <v>8</v>
      </c>
      <c r="E56" s="5">
        <v>0</v>
      </c>
      <c r="F56" s="5">
        <v>5</v>
      </c>
      <c r="G56" s="5">
        <v>0</v>
      </c>
      <c r="H56" s="5">
        <v>0</v>
      </c>
      <c r="I56" s="6">
        <f t="shared" si="8"/>
        <v>37</v>
      </c>
    </row>
    <row r="57" spans="1:11" x14ac:dyDescent="0.25">
      <c r="A57" s="5" t="s">
        <v>12</v>
      </c>
      <c r="B57" s="5">
        <v>7</v>
      </c>
      <c r="C57" s="5">
        <v>7</v>
      </c>
      <c r="D57" s="5">
        <v>7</v>
      </c>
      <c r="E57" s="5">
        <v>0</v>
      </c>
      <c r="F57" s="5">
        <v>9</v>
      </c>
      <c r="G57" s="5">
        <v>0</v>
      </c>
      <c r="H57" s="5">
        <v>0</v>
      </c>
      <c r="I57" s="6">
        <f t="shared" si="8"/>
        <v>30</v>
      </c>
    </row>
    <row r="58" spans="1:11" x14ac:dyDescent="0.25">
      <c r="A58" s="5" t="s">
        <v>13</v>
      </c>
      <c r="B58" s="5">
        <v>4</v>
      </c>
      <c r="C58" s="5">
        <v>3</v>
      </c>
      <c r="D58" s="5">
        <v>3</v>
      </c>
      <c r="E58" s="5">
        <v>2</v>
      </c>
      <c r="F58" s="5">
        <v>1</v>
      </c>
      <c r="G58" s="5">
        <v>0</v>
      </c>
      <c r="H58" s="5">
        <v>0</v>
      </c>
      <c r="I58" s="6">
        <f t="shared" si="8"/>
        <v>13</v>
      </c>
    </row>
    <row r="59" spans="1:11" x14ac:dyDescent="0.25">
      <c r="A59" s="5" t="s">
        <v>14</v>
      </c>
      <c r="B59" s="5">
        <v>4</v>
      </c>
      <c r="C59" s="5">
        <v>0</v>
      </c>
      <c r="D59" s="5">
        <v>1</v>
      </c>
      <c r="E59" s="5">
        <v>1</v>
      </c>
      <c r="F59" s="5">
        <v>1</v>
      </c>
      <c r="G59" s="5">
        <v>0</v>
      </c>
      <c r="H59" s="5">
        <v>0</v>
      </c>
      <c r="I59" s="6">
        <f t="shared" si="8"/>
        <v>7</v>
      </c>
    </row>
    <row r="60" spans="1:11" x14ac:dyDescent="0.25">
      <c r="A60" s="7" t="s">
        <v>15</v>
      </c>
      <c r="B60" s="7">
        <f t="shared" ref="B60:H60" si="9">SUM(B54:B59)</f>
        <v>206</v>
      </c>
      <c r="C60" s="7">
        <f t="shared" si="9"/>
        <v>164</v>
      </c>
      <c r="D60" s="7">
        <f t="shared" si="9"/>
        <v>194</v>
      </c>
      <c r="E60" s="7">
        <f t="shared" si="9"/>
        <v>130</v>
      </c>
      <c r="F60" s="7">
        <f t="shared" si="9"/>
        <v>154</v>
      </c>
      <c r="G60" s="7">
        <f t="shared" si="9"/>
        <v>53</v>
      </c>
      <c r="H60" s="7">
        <f t="shared" si="9"/>
        <v>1</v>
      </c>
      <c r="I60" s="6">
        <f t="shared" si="8"/>
        <v>902</v>
      </c>
      <c r="J60" s="1"/>
      <c r="K60" s="1"/>
    </row>
    <row r="61" spans="1:11" x14ac:dyDescent="0.25">
      <c r="A61" s="5" t="s">
        <v>33</v>
      </c>
      <c r="B61" s="5">
        <v>11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11</v>
      </c>
      <c r="K61">
        <f>I60+I48+I35+I22+I9</f>
        <v>4241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5"/>
  <sheetViews>
    <sheetView topLeftCell="A4" workbookViewId="0">
      <selection activeCell="H40" sqref="H40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45838</v>
      </c>
      <c r="C2" s="4">
        <v>45839</v>
      </c>
      <c r="D2" s="4">
        <v>45840</v>
      </c>
      <c r="E2" s="4">
        <v>45841</v>
      </c>
      <c r="F2" s="4">
        <v>45842</v>
      </c>
      <c r="G2" s="4">
        <v>45843</v>
      </c>
      <c r="H2" s="3" t="s">
        <v>19</v>
      </c>
    </row>
    <row r="3" spans="1:8" x14ac:dyDescent="0.25">
      <c r="A3" s="5" t="s">
        <v>20</v>
      </c>
      <c r="B3" s="5">
        <v>20</v>
      </c>
      <c r="C3" s="5">
        <v>27</v>
      </c>
      <c r="D3" s="5">
        <v>28</v>
      </c>
      <c r="E3" s="5">
        <v>28</v>
      </c>
      <c r="F3" s="5">
        <v>0</v>
      </c>
      <c r="G3" s="5">
        <v>16</v>
      </c>
      <c r="H3" s="6">
        <f t="shared" ref="H3:H9" si="0">SUM(B3:G3)</f>
        <v>119</v>
      </c>
    </row>
    <row r="4" spans="1:8" x14ac:dyDescent="0.25">
      <c r="A4" s="5" t="s">
        <v>21</v>
      </c>
      <c r="B4" s="5">
        <v>32</v>
      </c>
      <c r="C4" s="5">
        <v>27</v>
      </c>
      <c r="D4" s="5">
        <v>31</v>
      </c>
      <c r="E4" s="5">
        <v>21</v>
      </c>
      <c r="F4" s="5">
        <v>0</v>
      </c>
      <c r="G4" s="5">
        <v>0</v>
      </c>
      <c r="H4" s="6">
        <f t="shared" si="0"/>
        <v>111</v>
      </c>
    </row>
    <row r="5" spans="1:8" x14ac:dyDescent="0.25">
      <c r="A5" s="5" t="s">
        <v>34</v>
      </c>
      <c r="B5" s="5">
        <v>9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9</v>
      </c>
    </row>
    <row r="6" spans="1:8" x14ac:dyDescent="0.25">
      <c r="A6" s="5" t="s">
        <v>23</v>
      </c>
      <c r="B6" s="5">
        <v>36</v>
      </c>
      <c r="C6" s="5">
        <v>49</v>
      </c>
      <c r="D6" s="5">
        <v>57</v>
      </c>
      <c r="E6" s="5">
        <v>51</v>
      </c>
      <c r="F6" s="5">
        <v>0</v>
      </c>
      <c r="G6" s="5">
        <v>22</v>
      </c>
      <c r="H6" s="6">
        <f t="shared" si="0"/>
        <v>215</v>
      </c>
    </row>
    <row r="7" spans="1:8" x14ac:dyDescent="0.25">
      <c r="A7" s="7" t="s">
        <v>15</v>
      </c>
      <c r="B7" s="7">
        <f t="shared" ref="B7:G7" si="1">SUM(B3:B6)</f>
        <v>97</v>
      </c>
      <c r="C7" s="7">
        <f t="shared" si="1"/>
        <v>103</v>
      </c>
      <c r="D7" s="7">
        <f t="shared" si="1"/>
        <v>116</v>
      </c>
      <c r="E7" s="7">
        <f t="shared" si="1"/>
        <v>100</v>
      </c>
      <c r="F7" s="7">
        <f t="shared" si="1"/>
        <v>0</v>
      </c>
      <c r="G7" s="7">
        <f t="shared" si="1"/>
        <v>38</v>
      </c>
      <c r="H7" s="6">
        <f t="shared" si="0"/>
        <v>454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45845</v>
      </c>
      <c r="C11" s="4">
        <v>45846</v>
      </c>
      <c r="D11" s="4">
        <v>45847</v>
      </c>
      <c r="E11" s="4">
        <v>45848</v>
      </c>
      <c r="F11" s="4">
        <v>45849</v>
      </c>
      <c r="G11" s="4">
        <v>45850</v>
      </c>
      <c r="H11" s="3" t="s">
        <v>19</v>
      </c>
    </row>
    <row r="12" spans="1:8" x14ac:dyDescent="0.25">
      <c r="A12" s="5" t="s">
        <v>20</v>
      </c>
      <c r="B12" s="5">
        <v>22</v>
      </c>
      <c r="C12" s="5">
        <v>19</v>
      </c>
      <c r="D12" s="5">
        <v>22</v>
      </c>
      <c r="E12" s="5">
        <v>0</v>
      </c>
      <c r="F12" s="5">
        <v>0</v>
      </c>
      <c r="G12" s="5">
        <v>0</v>
      </c>
      <c r="H12" s="6">
        <f t="shared" ref="H12:H18" si="2">SUM(B12:G12)</f>
        <v>63</v>
      </c>
    </row>
    <row r="13" spans="1:8" x14ac:dyDescent="0.25">
      <c r="A13" s="5" t="s">
        <v>21</v>
      </c>
      <c r="B13" s="5">
        <v>29</v>
      </c>
      <c r="C13" s="5">
        <v>32</v>
      </c>
      <c r="D13" s="5">
        <v>31</v>
      </c>
      <c r="E13" s="5">
        <v>31</v>
      </c>
      <c r="F13" s="5">
        <v>35</v>
      </c>
      <c r="G13" s="5">
        <v>22</v>
      </c>
      <c r="H13" s="6">
        <f t="shared" si="2"/>
        <v>180</v>
      </c>
    </row>
    <row r="14" spans="1:8" x14ac:dyDescent="0.25">
      <c r="A14" s="5" t="s">
        <v>34</v>
      </c>
      <c r="B14" s="5">
        <v>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9</v>
      </c>
    </row>
    <row r="15" spans="1:8" x14ac:dyDescent="0.25">
      <c r="A15" s="5" t="s">
        <v>23</v>
      </c>
      <c r="B15" s="5">
        <v>51</v>
      </c>
      <c r="C15" s="5">
        <v>48</v>
      </c>
      <c r="D15" s="5">
        <v>48</v>
      </c>
      <c r="E15" s="5">
        <v>40</v>
      </c>
      <c r="F15" s="5">
        <v>25</v>
      </c>
      <c r="G15" s="5">
        <v>22</v>
      </c>
      <c r="H15" s="6">
        <f t="shared" si="2"/>
        <v>234</v>
      </c>
    </row>
    <row r="16" spans="1:8" x14ac:dyDescent="0.25">
      <c r="A16" s="7" t="s">
        <v>15</v>
      </c>
      <c r="B16" s="7">
        <f t="shared" ref="B16:G16" si="3">SUM(B12:B15)</f>
        <v>111</v>
      </c>
      <c r="C16" s="7">
        <f t="shared" si="3"/>
        <v>99</v>
      </c>
      <c r="D16" s="7">
        <f t="shared" si="3"/>
        <v>101</v>
      </c>
      <c r="E16" s="7">
        <f>SUM(E12:E15)</f>
        <v>71</v>
      </c>
      <c r="F16" s="7">
        <f t="shared" si="3"/>
        <v>60</v>
      </c>
      <c r="G16" s="7">
        <f t="shared" si="3"/>
        <v>44</v>
      </c>
      <c r="H16" s="6">
        <f t="shared" si="2"/>
        <v>486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45852</v>
      </c>
      <c r="C20" s="4">
        <v>45853</v>
      </c>
      <c r="D20" s="4">
        <v>45854</v>
      </c>
      <c r="E20" s="4">
        <v>45855</v>
      </c>
      <c r="F20" s="4">
        <v>45856</v>
      </c>
      <c r="G20" s="4">
        <v>45857</v>
      </c>
      <c r="H20" s="3" t="s">
        <v>19</v>
      </c>
    </row>
    <row r="21" spans="1:8" x14ac:dyDescent="0.25">
      <c r="A21" s="5" t="s">
        <v>20</v>
      </c>
      <c r="B21" s="5">
        <v>17</v>
      </c>
      <c r="C21" s="5">
        <v>21</v>
      </c>
      <c r="D21" s="5">
        <v>22</v>
      </c>
      <c r="E21" s="5">
        <v>26</v>
      </c>
      <c r="F21" s="5">
        <v>21</v>
      </c>
      <c r="G21" s="5">
        <v>0</v>
      </c>
      <c r="H21" s="6">
        <f t="shared" ref="H21:H27" si="4">SUM(B21:G21)</f>
        <v>107</v>
      </c>
    </row>
    <row r="22" spans="1:8" x14ac:dyDescent="0.25">
      <c r="A22" s="5" t="s">
        <v>21</v>
      </c>
      <c r="B22" s="5">
        <v>26</v>
      </c>
      <c r="C22" s="5">
        <v>25</v>
      </c>
      <c r="D22" s="5">
        <v>29</v>
      </c>
      <c r="E22" s="5">
        <v>31</v>
      </c>
      <c r="F22" s="5">
        <v>19</v>
      </c>
      <c r="G22" s="5">
        <v>12</v>
      </c>
      <c r="H22" s="6">
        <f t="shared" si="4"/>
        <v>142</v>
      </c>
    </row>
    <row r="23" spans="1:8" x14ac:dyDescent="0.25">
      <c r="A23" s="5" t="s">
        <v>38</v>
      </c>
      <c r="B23" s="5">
        <v>7</v>
      </c>
      <c r="C23" s="5">
        <v>5</v>
      </c>
      <c r="D23" s="5">
        <v>1</v>
      </c>
      <c r="E23" s="5">
        <v>3</v>
      </c>
      <c r="F23" s="5">
        <v>4</v>
      </c>
      <c r="G23" s="5">
        <v>0</v>
      </c>
      <c r="H23" s="6">
        <f t="shared" si="4"/>
        <v>20</v>
      </c>
    </row>
    <row r="24" spans="1:8" x14ac:dyDescent="0.25">
      <c r="A24" s="5" t="s">
        <v>23</v>
      </c>
      <c r="B24" s="5">
        <v>44</v>
      </c>
      <c r="C24" s="5">
        <v>51</v>
      </c>
      <c r="D24" s="5">
        <v>48</v>
      </c>
      <c r="E24" s="5">
        <v>41</v>
      </c>
      <c r="F24" s="5">
        <v>38</v>
      </c>
      <c r="G24" s="5">
        <v>20</v>
      </c>
      <c r="H24" s="6">
        <f t="shared" si="4"/>
        <v>242</v>
      </c>
    </row>
    <row r="25" spans="1:8" x14ac:dyDescent="0.25">
      <c r="A25" s="7" t="s">
        <v>15</v>
      </c>
      <c r="B25" s="7">
        <f t="shared" ref="B25:G25" si="5">SUM(B21:B24)</f>
        <v>94</v>
      </c>
      <c r="C25" s="7">
        <f t="shared" si="5"/>
        <v>102</v>
      </c>
      <c r="D25" s="7">
        <f t="shared" si="5"/>
        <v>100</v>
      </c>
      <c r="E25" s="7">
        <f>SUM(E21:E24)</f>
        <v>101</v>
      </c>
      <c r="F25" s="7">
        <f t="shared" si="5"/>
        <v>82</v>
      </c>
      <c r="G25" s="7">
        <f t="shared" si="5"/>
        <v>32</v>
      </c>
      <c r="H25" s="6">
        <f t="shared" si="4"/>
        <v>511</v>
      </c>
    </row>
    <row r="26" spans="1:8" x14ac:dyDescent="0.25">
      <c r="A26" s="5" t="s">
        <v>33</v>
      </c>
      <c r="B26" s="5">
        <v>8</v>
      </c>
      <c r="C26" s="5"/>
      <c r="D26" s="5"/>
      <c r="E26" s="5"/>
      <c r="F26" s="5"/>
      <c r="G26" s="5"/>
      <c r="H26" s="6">
        <f t="shared" si="4"/>
        <v>8</v>
      </c>
    </row>
    <row r="27" spans="1:8" x14ac:dyDescent="0.25">
      <c r="A27" s="5" t="s">
        <v>29</v>
      </c>
      <c r="B27" s="5"/>
      <c r="C27" s="5"/>
      <c r="D27" s="5">
        <v>3</v>
      </c>
      <c r="E27" s="5"/>
      <c r="F27" s="5"/>
      <c r="G27" s="5"/>
      <c r="H27" s="6">
        <f t="shared" si="4"/>
        <v>3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45859</v>
      </c>
      <c r="C29" s="4">
        <v>45860</v>
      </c>
      <c r="D29" s="4">
        <v>45861</v>
      </c>
      <c r="E29" s="4">
        <v>45862</v>
      </c>
      <c r="F29" s="4">
        <v>45863</v>
      </c>
      <c r="G29" s="4">
        <v>45864</v>
      </c>
      <c r="H29" s="3" t="s">
        <v>19</v>
      </c>
    </row>
    <row r="30" spans="1:8" x14ac:dyDescent="0.25">
      <c r="A30" s="5" t="s">
        <v>20</v>
      </c>
      <c r="B30" s="5">
        <v>25</v>
      </c>
      <c r="C30" s="5">
        <v>21</v>
      </c>
      <c r="D30" s="5">
        <v>18</v>
      </c>
      <c r="E30" s="5">
        <v>21</v>
      </c>
      <c r="F30" s="5">
        <v>14</v>
      </c>
      <c r="G30" s="5">
        <v>19</v>
      </c>
      <c r="H30" s="6">
        <f>SUM(B30:G30)</f>
        <v>118</v>
      </c>
    </row>
    <row r="31" spans="1:8" x14ac:dyDescent="0.25">
      <c r="A31" s="5" t="s">
        <v>21</v>
      </c>
      <c r="B31" s="5">
        <v>32</v>
      </c>
      <c r="C31" s="5">
        <v>19</v>
      </c>
      <c r="D31" s="5">
        <v>33</v>
      </c>
      <c r="E31" s="5">
        <v>28</v>
      </c>
      <c r="F31" s="5">
        <v>21</v>
      </c>
      <c r="G31" s="5">
        <v>0</v>
      </c>
      <c r="H31" s="6">
        <f t="shared" ref="H31:H36" si="6">SUM(B31:G31)</f>
        <v>133</v>
      </c>
    </row>
    <row r="32" spans="1:8" x14ac:dyDescent="0.25">
      <c r="A32" s="5" t="s">
        <v>38</v>
      </c>
      <c r="B32" s="5">
        <v>6</v>
      </c>
      <c r="C32" s="5">
        <v>6</v>
      </c>
      <c r="D32" s="5">
        <v>5</v>
      </c>
      <c r="E32" s="5">
        <v>6</v>
      </c>
      <c r="F32" s="5">
        <v>7</v>
      </c>
      <c r="G32" s="5">
        <v>0</v>
      </c>
      <c r="H32" s="6">
        <f t="shared" si="6"/>
        <v>30</v>
      </c>
    </row>
    <row r="33" spans="1:8" x14ac:dyDescent="0.25">
      <c r="A33" s="5" t="s">
        <v>23</v>
      </c>
      <c r="B33" s="5">
        <v>40</v>
      </c>
      <c r="C33" s="5">
        <v>48</v>
      </c>
      <c r="D33" s="5">
        <v>52</v>
      </c>
      <c r="E33" s="5">
        <v>42</v>
      </c>
      <c r="F33" s="5">
        <v>36</v>
      </c>
      <c r="G33" s="5">
        <v>19</v>
      </c>
      <c r="H33" s="6">
        <f t="shared" si="6"/>
        <v>237</v>
      </c>
    </row>
    <row r="34" spans="1:8" x14ac:dyDescent="0.25">
      <c r="A34" s="7" t="s">
        <v>15</v>
      </c>
      <c r="B34" s="7">
        <f t="shared" ref="B34:G34" si="7">SUM(B30:B33)</f>
        <v>103</v>
      </c>
      <c r="C34" s="7">
        <f t="shared" si="7"/>
        <v>94</v>
      </c>
      <c r="D34" s="7">
        <f t="shared" si="7"/>
        <v>108</v>
      </c>
      <c r="E34" s="7">
        <f t="shared" si="7"/>
        <v>97</v>
      </c>
      <c r="F34" s="7">
        <f t="shared" si="7"/>
        <v>78</v>
      </c>
      <c r="G34" s="7">
        <f t="shared" si="7"/>
        <v>38</v>
      </c>
      <c r="H34" s="6">
        <f t="shared" si="6"/>
        <v>518</v>
      </c>
    </row>
    <row r="35" spans="1:8" x14ac:dyDescent="0.25">
      <c r="A35" s="5" t="s">
        <v>34</v>
      </c>
      <c r="B35" s="5">
        <v>9</v>
      </c>
      <c r="C35" s="5"/>
      <c r="D35" s="5"/>
      <c r="E35" s="5"/>
      <c r="F35" s="5"/>
      <c r="G35" s="5"/>
      <c r="H35" s="6">
        <f t="shared" si="6"/>
        <v>9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>
        <v>45866</v>
      </c>
      <c r="C38" s="4">
        <v>45867</v>
      </c>
      <c r="D38" s="4">
        <v>45868</v>
      </c>
      <c r="E38" s="4">
        <v>45869</v>
      </c>
      <c r="F38" s="4">
        <v>45870</v>
      </c>
      <c r="G38" s="4">
        <v>45871</v>
      </c>
      <c r="H38" s="3" t="s">
        <v>19</v>
      </c>
    </row>
    <row r="39" spans="1:8" x14ac:dyDescent="0.25">
      <c r="A39" s="5" t="s">
        <v>20</v>
      </c>
      <c r="B39" s="5">
        <v>16</v>
      </c>
      <c r="C39" s="5">
        <v>17</v>
      </c>
      <c r="D39" s="5">
        <v>21</v>
      </c>
      <c r="E39" s="5">
        <v>15</v>
      </c>
      <c r="F39" s="5">
        <v>19</v>
      </c>
      <c r="G39" s="5">
        <v>0</v>
      </c>
      <c r="H39" s="6">
        <f t="shared" ref="H39:H45" si="8">SUM(B39:G39)</f>
        <v>88</v>
      </c>
    </row>
    <row r="40" spans="1:8" x14ac:dyDescent="0.25">
      <c r="A40" s="5" t="s">
        <v>21</v>
      </c>
      <c r="B40" s="5">
        <v>25</v>
      </c>
      <c r="C40" s="5">
        <v>26</v>
      </c>
      <c r="D40" s="5">
        <v>28</v>
      </c>
      <c r="E40" s="5">
        <v>19</v>
      </c>
      <c r="F40" s="5">
        <v>22</v>
      </c>
      <c r="G40" s="5">
        <v>15</v>
      </c>
      <c r="H40" s="6">
        <f t="shared" si="8"/>
        <v>135</v>
      </c>
    </row>
    <row r="41" spans="1:8" x14ac:dyDescent="0.25">
      <c r="A41" s="5" t="s">
        <v>38</v>
      </c>
      <c r="B41" s="5">
        <v>8</v>
      </c>
      <c r="C41" s="5">
        <v>7</v>
      </c>
      <c r="D41" s="5">
        <v>8</v>
      </c>
      <c r="E41" s="5">
        <v>6</v>
      </c>
      <c r="F41" s="5">
        <v>10</v>
      </c>
      <c r="G41" s="5">
        <v>0</v>
      </c>
      <c r="H41" s="6">
        <f t="shared" si="8"/>
        <v>39</v>
      </c>
    </row>
    <row r="42" spans="1:8" x14ac:dyDescent="0.25">
      <c r="A42" s="5" t="s">
        <v>23</v>
      </c>
      <c r="B42" s="5">
        <v>45</v>
      </c>
      <c r="C42" s="5">
        <v>43</v>
      </c>
      <c r="D42" s="5">
        <v>52</v>
      </c>
      <c r="E42" s="5">
        <v>47</v>
      </c>
      <c r="F42" s="5">
        <v>35</v>
      </c>
      <c r="G42" s="5">
        <v>23</v>
      </c>
      <c r="H42" s="6">
        <f t="shared" si="8"/>
        <v>245</v>
      </c>
    </row>
    <row r="43" spans="1:8" x14ac:dyDescent="0.25">
      <c r="A43" s="7" t="s">
        <v>15</v>
      </c>
      <c r="B43" s="7">
        <f t="shared" ref="B43:G43" si="9">SUM(B39:B42)</f>
        <v>94</v>
      </c>
      <c r="C43" s="7">
        <f t="shared" si="9"/>
        <v>93</v>
      </c>
      <c r="D43" s="7">
        <f t="shared" si="9"/>
        <v>109</v>
      </c>
      <c r="E43" s="7">
        <f t="shared" si="9"/>
        <v>87</v>
      </c>
      <c r="F43" s="7">
        <f t="shared" si="9"/>
        <v>86</v>
      </c>
      <c r="G43" s="7">
        <f t="shared" si="9"/>
        <v>38</v>
      </c>
      <c r="H43" s="6">
        <f t="shared" si="8"/>
        <v>507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62"/>
  <sheetViews>
    <sheetView topLeftCell="A40" workbookViewId="0">
      <selection activeCell="K26" sqref="K26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45873</v>
      </c>
      <c r="C2" s="4">
        <v>45874</v>
      </c>
      <c r="D2" s="4">
        <v>45875</v>
      </c>
      <c r="E2" s="4">
        <v>45876</v>
      </c>
      <c r="F2" s="4">
        <v>45877</v>
      </c>
      <c r="G2" s="4">
        <v>45878</v>
      </c>
      <c r="H2" s="4">
        <v>45879</v>
      </c>
      <c r="I2" s="2" t="s">
        <v>8</v>
      </c>
    </row>
    <row r="3" spans="1:11" x14ac:dyDescent="0.25">
      <c r="A3" s="5" t="s">
        <v>9</v>
      </c>
      <c r="B3" s="5">
        <v>122</v>
      </c>
      <c r="C3" s="5">
        <v>105</v>
      </c>
      <c r="D3" s="5">
        <v>111</v>
      </c>
      <c r="E3" s="5">
        <v>97</v>
      </c>
      <c r="F3" s="5">
        <v>88</v>
      </c>
      <c r="G3" s="5">
        <v>36</v>
      </c>
      <c r="H3" s="5">
        <v>0</v>
      </c>
      <c r="I3" s="6">
        <f t="shared" ref="I3:I11" si="0">SUM(B3:H3)</f>
        <v>559</v>
      </c>
    </row>
    <row r="4" spans="1:11" x14ac:dyDescent="0.25">
      <c r="A4" s="5" t="s">
        <v>10</v>
      </c>
      <c r="B4" s="5">
        <v>68</v>
      </c>
      <c r="C4" s="5">
        <v>53</v>
      </c>
      <c r="D4" s="5">
        <v>70</v>
      </c>
      <c r="E4" s="5">
        <v>47</v>
      </c>
      <c r="F4" s="5">
        <v>51</v>
      </c>
      <c r="G4" s="5">
        <v>14</v>
      </c>
      <c r="H4" s="5">
        <v>5</v>
      </c>
      <c r="I4" s="6">
        <f>SUM(B4:H4)</f>
        <v>308</v>
      </c>
    </row>
    <row r="5" spans="1:11" x14ac:dyDescent="0.25">
      <c r="A5" s="5" t="s">
        <v>11</v>
      </c>
      <c r="B5" s="5">
        <v>9</v>
      </c>
      <c r="C5" s="5">
        <v>10</v>
      </c>
      <c r="D5" s="5">
        <v>6</v>
      </c>
      <c r="E5" s="5">
        <v>2</v>
      </c>
      <c r="F5" s="5">
        <v>10</v>
      </c>
      <c r="G5" s="5">
        <v>0</v>
      </c>
      <c r="H5" s="5">
        <v>0</v>
      </c>
      <c r="I5" s="6">
        <f t="shared" si="0"/>
        <v>37</v>
      </c>
    </row>
    <row r="6" spans="1:11" x14ac:dyDescent="0.25">
      <c r="A6" s="5" t="s">
        <v>12</v>
      </c>
      <c r="B6" s="5">
        <v>5</v>
      </c>
      <c r="C6" s="5">
        <v>6</v>
      </c>
      <c r="D6" s="5">
        <v>7</v>
      </c>
      <c r="E6" s="5">
        <v>0</v>
      </c>
      <c r="F6" s="5">
        <v>10</v>
      </c>
      <c r="G6" s="5">
        <v>0</v>
      </c>
      <c r="H6" s="5">
        <v>0</v>
      </c>
      <c r="I6" s="6">
        <f t="shared" si="0"/>
        <v>28</v>
      </c>
    </row>
    <row r="7" spans="1:11" x14ac:dyDescent="0.25">
      <c r="A7" s="5" t="s">
        <v>13</v>
      </c>
      <c r="B7" s="5">
        <v>1</v>
      </c>
      <c r="C7" s="5">
        <v>3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5</v>
      </c>
    </row>
    <row r="8" spans="1:11" x14ac:dyDescent="0.25">
      <c r="A8" s="5" t="s">
        <v>14</v>
      </c>
      <c r="B8" s="5">
        <v>1</v>
      </c>
      <c r="C8" s="5">
        <v>0</v>
      </c>
      <c r="D8" s="5">
        <v>1</v>
      </c>
      <c r="E8" s="5">
        <v>1</v>
      </c>
      <c r="F8" s="5">
        <v>4</v>
      </c>
      <c r="G8" s="5">
        <v>0</v>
      </c>
      <c r="H8" s="5">
        <v>0</v>
      </c>
      <c r="I8" s="6">
        <f t="shared" si="0"/>
        <v>7</v>
      </c>
    </row>
    <row r="9" spans="1:11" x14ac:dyDescent="0.25">
      <c r="A9" s="7" t="s">
        <v>15</v>
      </c>
      <c r="B9" s="7">
        <f t="shared" ref="B9:H9" si="1">SUM(B3:B8)</f>
        <v>206</v>
      </c>
      <c r="C9" s="7">
        <f t="shared" si="1"/>
        <v>177</v>
      </c>
      <c r="D9" s="7">
        <f t="shared" si="1"/>
        <v>196</v>
      </c>
      <c r="E9" s="7">
        <f t="shared" si="1"/>
        <v>147</v>
      </c>
      <c r="F9" s="7">
        <f t="shared" si="1"/>
        <v>163</v>
      </c>
      <c r="G9" s="7">
        <f t="shared" si="1"/>
        <v>50</v>
      </c>
      <c r="H9" s="7">
        <f t="shared" si="1"/>
        <v>5</v>
      </c>
      <c r="I9" s="6">
        <f t="shared" si="0"/>
        <v>944</v>
      </c>
      <c r="J9" s="1"/>
      <c r="K9" s="1"/>
    </row>
    <row r="10" spans="1:11" x14ac:dyDescent="0.25">
      <c r="A10" s="5" t="s">
        <v>39</v>
      </c>
      <c r="B10" s="5">
        <v>3</v>
      </c>
      <c r="C10" s="5">
        <v>3</v>
      </c>
      <c r="D10" s="5">
        <v>4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10</v>
      </c>
    </row>
    <row r="11" spans="1:11" x14ac:dyDescent="0.25">
      <c r="A11" s="5" t="s">
        <v>34</v>
      </c>
      <c r="B11" s="5">
        <v>14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14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45880</v>
      </c>
      <c r="C15" s="4">
        <v>45881</v>
      </c>
      <c r="D15" s="4">
        <v>45882</v>
      </c>
      <c r="E15" s="4">
        <v>45883</v>
      </c>
      <c r="F15" s="4">
        <v>45884</v>
      </c>
      <c r="G15" s="4">
        <v>45885</v>
      </c>
      <c r="H15" s="4">
        <v>45886</v>
      </c>
      <c r="I15" s="2" t="s">
        <v>8</v>
      </c>
    </row>
    <row r="16" spans="1:11" x14ac:dyDescent="0.25">
      <c r="A16" s="5" t="s">
        <v>9</v>
      </c>
      <c r="B16" s="5">
        <v>98</v>
      </c>
      <c r="C16" s="5">
        <v>95</v>
      </c>
      <c r="D16" s="5">
        <v>98</v>
      </c>
      <c r="E16" s="5">
        <v>104</v>
      </c>
      <c r="F16" s="5">
        <v>93</v>
      </c>
      <c r="G16" s="5">
        <v>39</v>
      </c>
      <c r="H16" s="5">
        <v>0</v>
      </c>
      <c r="I16" s="6">
        <f t="shared" ref="I16:I22" si="2">SUM(B16:H16)</f>
        <v>527</v>
      </c>
    </row>
    <row r="17" spans="1:11" x14ac:dyDescent="0.25">
      <c r="A17" s="5" t="s">
        <v>10</v>
      </c>
      <c r="B17" s="5">
        <v>66</v>
      </c>
      <c r="C17" s="5">
        <v>54</v>
      </c>
      <c r="D17" s="5">
        <v>60</v>
      </c>
      <c r="E17" s="5">
        <v>40</v>
      </c>
      <c r="F17" s="5">
        <v>54</v>
      </c>
      <c r="G17" s="5">
        <v>17</v>
      </c>
      <c r="H17" s="5">
        <v>6</v>
      </c>
      <c r="I17" s="6">
        <f t="shared" si="2"/>
        <v>297</v>
      </c>
    </row>
    <row r="18" spans="1:11" x14ac:dyDescent="0.25">
      <c r="A18" s="5" t="s">
        <v>11</v>
      </c>
      <c r="B18" s="5">
        <v>18</v>
      </c>
      <c r="C18" s="5">
        <v>10</v>
      </c>
      <c r="D18" s="5">
        <v>8</v>
      </c>
      <c r="E18" s="5">
        <v>0</v>
      </c>
      <c r="F18" s="5">
        <v>14</v>
      </c>
      <c r="G18" s="5">
        <v>2</v>
      </c>
      <c r="H18" s="5">
        <v>0</v>
      </c>
      <c r="I18" s="6">
        <f t="shared" si="2"/>
        <v>52</v>
      </c>
    </row>
    <row r="19" spans="1:11" x14ac:dyDescent="0.25">
      <c r="A19" s="5" t="s">
        <v>12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40</v>
      </c>
      <c r="B20" s="5">
        <v>6</v>
      </c>
      <c r="C20" s="5">
        <v>10</v>
      </c>
      <c r="D20" s="5">
        <v>6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22</v>
      </c>
    </row>
    <row r="21" spans="1:11" x14ac:dyDescent="0.25">
      <c r="A21" s="5" t="s">
        <v>41</v>
      </c>
      <c r="B21" s="5">
        <v>6</v>
      </c>
      <c r="C21" s="5">
        <v>5</v>
      </c>
      <c r="D21" s="5">
        <v>2</v>
      </c>
      <c r="E21" s="5">
        <v>3</v>
      </c>
      <c r="F21" s="5">
        <v>4</v>
      </c>
      <c r="G21" s="5">
        <v>0</v>
      </c>
      <c r="H21" s="5">
        <v>0</v>
      </c>
      <c r="I21" s="6">
        <f t="shared" si="2"/>
        <v>20</v>
      </c>
    </row>
    <row r="22" spans="1:11" x14ac:dyDescent="0.25">
      <c r="A22" s="7" t="s">
        <v>15</v>
      </c>
      <c r="B22" s="7">
        <f t="shared" ref="B22:G22" si="3">SUM(B16:B21)</f>
        <v>194</v>
      </c>
      <c r="C22" s="7">
        <f t="shared" si="3"/>
        <v>174</v>
      </c>
      <c r="D22" s="7">
        <f t="shared" si="3"/>
        <v>174</v>
      </c>
      <c r="E22" s="7">
        <f t="shared" si="3"/>
        <v>147</v>
      </c>
      <c r="F22" s="7">
        <f t="shared" si="3"/>
        <v>165</v>
      </c>
      <c r="G22" s="7">
        <f t="shared" si="3"/>
        <v>58</v>
      </c>
      <c r="H22" s="7">
        <f>SUM(H16:H21)</f>
        <v>6</v>
      </c>
      <c r="I22" s="6">
        <f t="shared" si="2"/>
        <v>918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45887</v>
      </c>
      <c r="C28" s="4">
        <v>45888</v>
      </c>
      <c r="D28" s="4">
        <v>45889</v>
      </c>
      <c r="E28" s="4">
        <v>45890</v>
      </c>
      <c r="F28" s="4">
        <v>45891</v>
      </c>
      <c r="G28" s="4">
        <v>45892</v>
      </c>
      <c r="H28" s="4">
        <v>45893</v>
      </c>
      <c r="I28" s="2" t="s">
        <v>8</v>
      </c>
    </row>
    <row r="29" spans="1:11" x14ac:dyDescent="0.25">
      <c r="A29" s="5" t="s">
        <v>9</v>
      </c>
      <c r="B29" s="5">
        <v>101</v>
      </c>
      <c r="C29" s="5">
        <v>109</v>
      </c>
      <c r="D29" s="5">
        <v>124</v>
      </c>
      <c r="E29" s="5">
        <v>104</v>
      </c>
      <c r="F29" s="5">
        <v>93</v>
      </c>
      <c r="G29" s="5">
        <v>45</v>
      </c>
      <c r="H29" s="5">
        <v>0</v>
      </c>
      <c r="I29" s="6">
        <f t="shared" ref="I29:I37" si="4">SUM(B29:H29)</f>
        <v>576</v>
      </c>
    </row>
    <row r="30" spans="1:11" x14ac:dyDescent="0.25">
      <c r="A30" s="5" t="s">
        <v>10</v>
      </c>
      <c r="B30" s="5">
        <v>59</v>
      </c>
      <c r="C30" s="5">
        <v>60</v>
      </c>
      <c r="D30" s="5">
        <v>78</v>
      </c>
      <c r="E30" s="5">
        <v>25</v>
      </c>
      <c r="F30" s="5">
        <v>51</v>
      </c>
      <c r="G30" s="5">
        <v>20</v>
      </c>
      <c r="H30" s="5">
        <v>0</v>
      </c>
      <c r="I30" s="6">
        <f t="shared" si="4"/>
        <v>293</v>
      </c>
    </row>
    <row r="31" spans="1:11" x14ac:dyDescent="0.25">
      <c r="A31" s="5" t="s">
        <v>11</v>
      </c>
      <c r="B31" s="5">
        <v>17</v>
      </c>
      <c r="C31" s="5">
        <v>11</v>
      </c>
      <c r="D31" s="5">
        <v>10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38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37</v>
      </c>
      <c r="B33" s="5">
        <v>5</v>
      </c>
      <c r="C33" s="5">
        <v>9</v>
      </c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21</v>
      </c>
    </row>
    <row r="34" spans="1:11" x14ac:dyDescent="0.25">
      <c r="A34" s="5" t="s">
        <v>42</v>
      </c>
      <c r="B34" s="5">
        <v>2</v>
      </c>
      <c r="C34" s="5">
        <v>3</v>
      </c>
      <c r="D34" s="5">
        <v>4</v>
      </c>
      <c r="E34" s="5">
        <v>1</v>
      </c>
      <c r="F34" s="5">
        <v>2</v>
      </c>
      <c r="G34" s="5">
        <v>2</v>
      </c>
      <c r="H34" s="5">
        <v>0</v>
      </c>
      <c r="I34" s="6">
        <f t="shared" si="4"/>
        <v>14</v>
      </c>
    </row>
    <row r="35" spans="1:11" x14ac:dyDescent="0.25">
      <c r="A35" s="7" t="s">
        <v>15</v>
      </c>
      <c r="B35" s="7">
        <f t="shared" ref="B35:H35" si="5">SUM(B29:B34)</f>
        <v>184</v>
      </c>
      <c r="C35" s="7">
        <f t="shared" si="5"/>
        <v>192</v>
      </c>
      <c r="D35" s="7">
        <f t="shared" si="5"/>
        <v>223</v>
      </c>
      <c r="E35" s="7">
        <f t="shared" si="5"/>
        <v>130</v>
      </c>
      <c r="F35" s="7">
        <f t="shared" si="5"/>
        <v>146</v>
      </c>
      <c r="G35" s="7">
        <f t="shared" si="5"/>
        <v>67</v>
      </c>
      <c r="H35" s="7">
        <f t="shared" si="5"/>
        <v>0</v>
      </c>
      <c r="I35" s="6">
        <f t="shared" si="4"/>
        <v>942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45894</v>
      </c>
      <c r="C41" s="4">
        <v>45895</v>
      </c>
      <c r="D41" s="4">
        <v>45896</v>
      </c>
      <c r="E41" s="4">
        <v>45897</v>
      </c>
      <c r="F41" s="4">
        <v>45898</v>
      </c>
      <c r="G41" s="4">
        <v>45899</v>
      </c>
      <c r="H41" s="4">
        <v>45900</v>
      </c>
      <c r="I41" s="2" t="s">
        <v>8</v>
      </c>
    </row>
    <row r="42" spans="1:11" x14ac:dyDescent="0.25">
      <c r="A42" s="5" t="s">
        <v>9</v>
      </c>
      <c r="B42" s="5">
        <v>114</v>
      </c>
      <c r="C42" s="5">
        <v>101</v>
      </c>
      <c r="D42" s="5">
        <v>109</v>
      </c>
      <c r="E42" s="5">
        <v>84</v>
      </c>
      <c r="F42" s="5">
        <v>89</v>
      </c>
      <c r="G42" s="5">
        <v>44</v>
      </c>
      <c r="H42" s="5">
        <v>0</v>
      </c>
      <c r="I42" s="6">
        <f t="shared" ref="I42:I50" si="6">SUM(B42:H42)</f>
        <v>541</v>
      </c>
    </row>
    <row r="43" spans="1:11" x14ac:dyDescent="0.25">
      <c r="A43" s="5" t="s">
        <v>10</v>
      </c>
      <c r="B43" s="5">
        <v>65</v>
      </c>
      <c r="C43" s="5">
        <v>55</v>
      </c>
      <c r="D43" s="5">
        <v>63</v>
      </c>
      <c r="E43" s="5">
        <v>44</v>
      </c>
      <c r="F43" s="5">
        <v>55</v>
      </c>
      <c r="G43" s="5">
        <v>26</v>
      </c>
      <c r="H43" s="5">
        <v>3</v>
      </c>
      <c r="I43" s="6">
        <f t="shared" si="6"/>
        <v>311</v>
      </c>
    </row>
    <row r="44" spans="1:11" x14ac:dyDescent="0.25">
      <c r="A44" s="5" t="s">
        <v>11</v>
      </c>
      <c r="B44" s="5">
        <v>18</v>
      </c>
      <c r="C44" s="5">
        <v>12</v>
      </c>
      <c r="D44" s="5">
        <v>12</v>
      </c>
      <c r="E44" s="5">
        <v>2</v>
      </c>
      <c r="F44" s="5">
        <v>14</v>
      </c>
      <c r="G44" s="5">
        <v>0</v>
      </c>
      <c r="H44" s="5">
        <v>0</v>
      </c>
      <c r="I44" s="6">
        <f t="shared" si="6"/>
        <v>58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37</v>
      </c>
      <c r="B46" s="5">
        <v>0</v>
      </c>
      <c r="C46" s="5">
        <v>8</v>
      </c>
      <c r="D46" s="5">
        <v>9</v>
      </c>
      <c r="E46" s="5">
        <v>1</v>
      </c>
      <c r="F46" s="5">
        <v>0</v>
      </c>
      <c r="G46" s="5">
        <v>0</v>
      </c>
      <c r="H46" s="5">
        <v>0</v>
      </c>
      <c r="I46" s="6" t="s">
        <v>43</v>
      </c>
    </row>
    <row r="47" spans="1:11" x14ac:dyDescent="0.25">
      <c r="A47" s="5" t="s">
        <v>42</v>
      </c>
      <c r="B47" s="5">
        <v>6</v>
      </c>
      <c r="C47" s="5">
        <v>3</v>
      </c>
      <c r="D47" s="5">
        <v>1</v>
      </c>
      <c r="E47" s="5">
        <v>1</v>
      </c>
      <c r="F47" s="5">
        <v>4</v>
      </c>
      <c r="G47" s="5">
        <v>0</v>
      </c>
      <c r="H47" s="5">
        <v>0</v>
      </c>
      <c r="I47" s="6">
        <f t="shared" si="6"/>
        <v>15</v>
      </c>
    </row>
    <row r="48" spans="1:11" x14ac:dyDescent="0.25">
      <c r="A48" s="7" t="s">
        <v>15</v>
      </c>
      <c r="B48" s="7">
        <f>SUM(B42:B47)</f>
        <v>203</v>
      </c>
      <c r="C48" s="7">
        <f t="shared" ref="C48:H48" si="7">SUM(C42:C47)</f>
        <v>179</v>
      </c>
      <c r="D48" s="7">
        <f t="shared" si="7"/>
        <v>194</v>
      </c>
      <c r="E48" s="7">
        <f t="shared" si="7"/>
        <v>132</v>
      </c>
      <c r="F48" s="7">
        <f t="shared" si="7"/>
        <v>162</v>
      </c>
      <c r="G48" s="7">
        <f t="shared" si="7"/>
        <v>70</v>
      </c>
      <c r="H48" s="7">
        <f t="shared" si="7"/>
        <v>3</v>
      </c>
      <c r="I48" s="6">
        <f t="shared" si="6"/>
        <v>943</v>
      </c>
      <c r="J48" s="1"/>
      <c r="K48" s="1"/>
    </row>
    <row r="49" spans="1:11" x14ac:dyDescent="0.25">
      <c r="A49" s="5" t="s">
        <v>34</v>
      </c>
      <c r="B49" s="5">
        <v>19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19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3747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6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5"/>
  <sheetViews>
    <sheetView topLeftCell="A16" workbookViewId="0">
      <selection activeCell="A36" sqref="A36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45873</v>
      </c>
      <c r="C2" s="4">
        <v>45874</v>
      </c>
      <c r="D2" s="4">
        <v>45875</v>
      </c>
      <c r="E2" s="4">
        <v>45876</v>
      </c>
      <c r="F2" s="4">
        <v>45877</v>
      </c>
      <c r="G2" s="4">
        <v>45878</v>
      </c>
      <c r="H2" s="3" t="s">
        <v>19</v>
      </c>
    </row>
    <row r="3" spans="1:8" x14ac:dyDescent="0.25">
      <c r="A3" s="5" t="s">
        <v>20</v>
      </c>
      <c r="B3" s="5">
        <v>22</v>
      </c>
      <c r="C3" s="5">
        <v>21</v>
      </c>
      <c r="D3" s="5">
        <v>26</v>
      </c>
      <c r="E3" s="5">
        <v>24</v>
      </c>
      <c r="F3" s="5">
        <v>17</v>
      </c>
      <c r="G3" s="5">
        <v>16</v>
      </c>
      <c r="H3" s="6">
        <f t="shared" ref="H3:H9" si="0">SUM(B3:G3)</f>
        <v>126</v>
      </c>
    </row>
    <row r="4" spans="1:8" x14ac:dyDescent="0.25">
      <c r="A4" s="5" t="s">
        <v>21</v>
      </c>
      <c r="B4" s="5">
        <v>29</v>
      </c>
      <c r="C4" s="5">
        <v>28</v>
      </c>
      <c r="D4" s="5">
        <v>23</v>
      </c>
      <c r="E4" s="5">
        <v>20</v>
      </c>
      <c r="F4" s="5">
        <v>20</v>
      </c>
      <c r="G4" s="5">
        <v>0</v>
      </c>
      <c r="H4" s="6">
        <f t="shared" si="0"/>
        <v>120</v>
      </c>
    </row>
    <row r="5" spans="1:8" x14ac:dyDescent="0.25">
      <c r="A5" s="5" t="s">
        <v>38</v>
      </c>
      <c r="B5" s="5">
        <v>8</v>
      </c>
      <c r="C5" s="5">
        <v>9</v>
      </c>
      <c r="D5" s="5">
        <v>11</v>
      </c>
      <c r="E5" s="5">
        <v>12</v>
      </c>
      <c r="F5" s="5">
        <v>6</v>
      </c>
      <c r="G5" s="5">
        <v>0</v>
      </c>
      <c r="H5" s="6">
        <f t="shared" si="0"/>
        <v>46</v>
      </c>
    </row>
    <row r="6" spans="1:8" x14ac:dyDescent="0.25">
      <c r="A6" s="5" t="s">
        <v>23</v>
      </c>
      <c r="B6" s="5">
        <v>49</v>
      </c>
      <c r="C6" s="5">
        <v>47</v>
      </c>
      <c r="D6" s="5">
        <v>51</v>
      </c>
      <c r="E6" s="5">
        <v>41</v>
      </c>
      <c r="F6" s="5">
        <v>45</v>
      </c>
      <c r="G6" s="5">
        <v>20</v>
      </c>
      <c r="H6" s="6">
        <f>SUM(B6:G6)</f>
        <v>253</v>
      </c>
    </row>
    <row r="7" spans="1:8" x14ac:dyDescent="0.25">
      <c r="A7" s="7" t="s">
        <v>15</v>
      </c>
      <c r="B7" s="7">
        <f t="shared" ref="B7:G7" si="1">SUM(B3:B6)</f>
        <v>108</v>
      </c>
      <c r="C7" s="7">
        <f t="shared" si="1"/>
        <v>105</v>
      </c>
      <c r="D7" s="7">
        <f t="shared" si="1"/>
        <v>111</v>
      </c>
      <c r="E7" s="7">
        <f t="shared" si="1"/>
        <v>97</v>
      </c>
      <c r="F7" s="7">
        <f t="shared" si="1"/>
        <v>88</v>
      </c>
      <c r="G7" s="7">
        <f t="shared" si="1"/>
        <v>36</v>
      </c>
      <c r="H7" s="6">
        <f t="shared" si="0"/>
        <v>545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45880</v>
      </c>
      <c r="C11" s="4">
        <v>45881</v>
      </c>
      <c r="D11" s="4">
        <v>45882</v>
      </c>
      <c r="E11" s="4">
        <v>45883</v>
      </c>
      <c r="F11" s="4">
        <v>45884</v>
      </c>
      <c r="G11" s="4">
        <v>45885</v>
      </c>
      <c r="H11" s="3" t="s">
        <v>19</v>
      </c>
    </row>
    <row r="12" spans="1:8" x14ac:dyDescent="0.25">
      <c r="A12" s="5" t="s">
        <v>20</v>
      </c>
      <c r="B12" s="5">
        <v>17</v>
      </c>
      <c r="C12" s="5">
        <v>17</v>
      </c>
      <c r="D12" s="5">
        <v>18</v>
      </c>
      <c r="E12" s="5">
        <v>26</v>
      </c>
      <c r="F12" s="5">
        <v>21</v>
      </c>
      <c r="G12" s="5">
        <v>0</v>
      </c>
      <c r="H12" s="6">
        <f t="shared" ref="H12:H16" si="2">SUM(B12:G12)</f>
        <v>99</v>
      </c>
    </row>
    <row r="13" spans="1:8" x14ac:dyDescent="0.25">
      <c r="A13" s="5" t="s">
        <v>21</v>
      </c>
      <c r="B13" s="5">
        <v>28</v>
      </c>
      <c r="C13" s="5">
        <v>22</v>
      </c>
      <c r="D13" s="5">
        <v>22</v>
      </c>
      <c r="E13" s="5">
        <v>18</v>
      </c>
      <c r="F13" s="5">
        <v>23</v>
      </c>
      <c r="G13" s="5">
        <v>18</v>
      </c>
      <c r="H13" s="6">
        <f t="shared" si="2"/>
        <v>131</v>
      </c>
    </row>
    <row r="14" spans="1:8" x14ac:dyDescent="0.25">
      <c r="A14" s="5" t="s">
        <v>38</v>
      </c>
      <c r="B14" s="5">
        <v>7</v>
      </c>
      <c r="C14" s="5">
        <v>8</v>
      </c>
      <c r="D14" s="5">
        <v>7</v>
      </c>
      <c r="E14" s="5">
        <v>8</v>
      </c>
      <c r="F14" s="5">
        <v>6</v>
      </c>
      <c r="G14" s="5">
        <v>0</v>
      </c>
      <c r="H14" s="6">
        <f t="shared" si="2"/>
        <v>36</v>
      </c>
    </row>
    <row r="15" spans="1:8" x14ac:dyDescent="0.25">
      <c r="A15" s="5" t="s">
        <v>23</v>
      </c>
      <c r="B15" s="5">
        <v>46</v>
      </c>
      <c r="C15" s="5">
        <v>48</v>
      </c>
      <c r="D15" s="5">
        <v>51</v>
      </c>
      <c r="E15" s="5">
        <v>52</v>
      </c>
      <c r="F15" s="5">
        <v>43</v>
      </c>
      <c r="G15" s="5">
        <v>21</v>
      </c>
      <c r="H15" s="6">
        <f t="shared" si="2"/>
        <v>261</v>
      </c>
    </row>
    <row r="16" spans="1:8" x14ac:dyDescent="0.25">
      <c r="A16" s="7" t="s">
        <v>15</v>
      </c>
      <c r="B16" s="7">
        <f t="shared" ref="B16:G16" si="3">SUM(B12:B15)</f>
        <v>98</v>
      </c>
      <c r="C16" s="7">
        <f t="shared" si="3"/>
        <v>95</v>
      </c>
      <c r="D16" s="7">
        <f t="shared" si="3"/>
        <v>98</v>
      </c>
      <c r="E16" s="7">
        <f>SUM(E12:E15)</f>
        <v>104</v>
      </c>
      <c r="F16" s="7">
        <f t="shared" si="3"/>
        <v>93</v>
      </c>
      <c r="G16" s="7">
        <f t="shared" si="3"/>
        <v>39</v>
      </c>
      <c r="H16" s="6">
        <f t="shared" si="2"/>
        <v>527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ref="H17:H18" si="4">SUM(B17:G17)</f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4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45887</v>
      </c>
      <c r="C20" s="4">
        <v>45888</v>
      </c>
      <c r="D20" s="4">
        <v>45889</v>
      </c>
      <c r="E20" s="4">
        <v>45890</v>
      </c>
      <c r="F20" s="4">
        <v>45891</v>
      </c>
      <c r="G20" s="4">
        <v>45892</v>
      </c>
      <c r="H20" s="3" t="s">
        <v>19</v>
      </c>
    </row>
    <row r="21" spans="1:8" x14ac:dyDescent="0.25">
      <c r="A21" s="5" t="s">
        <v>20</v>
      </c>
      <c r="B21" s="5">
        <v>17</v>
      </c>
      <c r="C21" s="5">
        <v>29</v>
      </c>
      <c r="D21" s="5">
        <v>23</v>
      </c>
      <c r="E21" s="5">
        <v>26</v>
      </c>
      <c r="F21" s="5">
        <v>24</v>
      </c>
      <c r="G21" s="5">
        <v>19</v>
      </c>
      <c r="H21" s="6">
        <f>SUM(B21:G21)</f>
        <v>138</v>
      </c>
    </row>
    <row r="22" spans="1:8" x14ac:dyDescent="0.25">
      <c r="A22" s="5" t="s">
        <v>21</v>
      </c>
      <c r="B22" s="5">
        <v>26</v>
      </c>
      <c r="C22" s="5">
        <v>21</v>
      </c>
      <c r="D22" s="5">
        <v>29</v>
      </c>
      <c r="E22" s="5">
        <v>18</v>
      </c>
      <c r="F22" s="5">
        <v>19</v>
      </c>
      <c r="G22" s="5">
        <v>0</v>
      </c>
      <c r="H22" s="6">
        <f t="shared" ref="H22:H25" si="5">SUM(B22:G22)</f>
        <v>113</v>
      </c>
    </row>
    <row r="23" spans="1:8" x14ac:dyDescent="0.25">
      <c r="A23" s="5" t="s">
        <v>38</v>
      </c>
      <c r="B23" s="5">
        <v>10</v>
      </c>
      <c r="C23" s="5">
        <v>11</v>
      </c>
      <c r="D23" s="5">
        <v>13</v>
      </c>
      <c r="E23" s="5">
        <v>12</v>
      </c>
      <c r="F23" s="5">
        <v>10</v>
      </c>
      <c r="G23" s="5">
        <v>0</v>
      </c>
      <c r="H23" s="6">
        <f t="shared" si="5"/>
        <v>56</v>
      </c>
    </row>
    <row r="24" spans="1:8" x14ac:dyDescent="0.25">
      <c r="A24" s="5" t="s">
        <v>23</v>
      </c>
      <c r="B24" s="5">
        <v>48</v>
      </c>
      <c r="C24" s="5">
        <v>48</v>
      </c>
      <c r="D24" s="5">
        <v>57</v>
      </c>
      <c r="E24" s="5">
        <v>44</v>
      </c>
      <c r="F24" s="5">
        <v>40</v>
      </c>
      <c r="G24" s="5">
        <v>26</v>
      </c>
      <c r="H24" s="6">
        <f t="shared" si="5"/>
        <v>263</v>
      </c>
    </row>
    <row r="25" spans="1:8" x14ac:dyDescent="0.25">
      <c r="A25" s="7" t="s">
        <v>15</v>
      </c>
      <c r="B25" s="7">
        <f t="shared" ref="B25:G25" si="6">SUM(B21:B24)</f>
        <v>101</v>
      </c>
      <c r="C25" s="7">
        <f t="shared" si="6"/>
        <v>109</v>
      </c>
      <c r="D25" s="7">
        <f t="shared" si="6"/>
        <v>122</v>
      </c>
      <c r="E25" s="7">
        <f t="shared" si="6"/>
        <v>100</v>
      </c>
      <c r="F25" s="7">
        <f t="shared" si="6"/>
        <v>93</v>
      </c>
      <c r="G25" s="7">
        <f t="shared" si="6"/>
        <v>45</v>
      </c>
      <c r="H25" s="6">
        <f t="shared" si="5"/>
        <v>570</v>
      </c>
    </row>
    <row r="26" spans="1:8" x14ac:dyDescent="0.25">
      <c r="A26" s="5" t="s">
        <v>29</v>
      </c>
      <c r="B26" s="5"/>
      <c r="C26" s="5"/>
      <c r="D26" s="5">
        <v>2</v>
      </c>
      <c r="E26" s="5"/>
      <c r="F26" s="5"/>
      <c r="G26" s="5"/>
      <c r="H26" s="6">
        <f t="shared" ref="H26:H27" si="7">SUM(B26:G26)</f>
        <v>2</v>
      </c>
    </row>
    <row r="27" spans="1:8" x14ac:dyDescent="0.25">
      <c r="A27" s="5" t="s">
        <v>30</v>
      </c>
      <c r="B27" s="5"/>
      <c r="C27" s="5"/>
      <c r="D27" s="5"/>
      <c r="E27" s="5">
        <v>4</v>
      </c>
      <c r="F27" s="5"/>
      <c r="G27" s="5"/>
      <c r="H27" s="6">
        <f t="shared" si="7"/>
        <v>4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45894</v>
      </c>
      <c r="C29" s="4">
        <v>45895</v>
      </c>
      <c r="D29" s="4">
        <v>45896</v>
      </c>
      <c r="E29" s="4">
        <v>45897</v>
      </c>
      <c r="F29" s="4">
        <v>45898</v>
      </c>
      <c r="G29" s="4">
        <v>45899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33</v>
      </c>
      <c r="C31" s="5">
        <v>37</v>
      </c>
      <c r="D31" s="5">
        <v>35</v>
      </c>
      <c r="E31" s="5">
        <v>29</v>
      </c>
      <c r="F31" s="5">
        <v>32</v>
      </c>
      <c r="G31" s="5">
        <v>18</v>
      </c>
      <c r="H31" s="6">
        <f t="shared" ref="H31:H36" si="8">SUM(B31:G31)</f>
        <v>184</v>
      </c>
    </row>
    <row r="32" spans="1:8" x14ac:dyDescent="0.25">
      <c r="A32" s="5" t="s">
        <v>38</v>
      </c>
      <c r="B32" s="5">
        <v>11</v>
      </c>
      <c r="C32" s="5">
        <v>12</v>
      </c>
      <c r="D32" s="5">
        <v>12</v>
      </c>
      <c r="E32" s="5">
        <v>13</v>
      </c>
      <c r="F32" s="5">
        <v>11</v>
      </c>
      <c r="G32" s="5">
        <v>0</v>
      </c>
      <c r="H32" s="6">
        <f t="shared" si="8"/>
        <v>59</v>
      </c>
    </row>
    <row r="33" spans="1:8" x14ac:dyDescent="0.25">
      <c r="A33" s="5" t="s">
        <v>23</v>
      </c>
      <c r="B33" s="5">
        <v>51</v>
      </c>
      <c r="C33" s="5">
        <v>52</v>
      </c>
      <c r="D33" s="5">
        <v>62</v>
      </c>
      <c r="E33" s="5">
        <v>42</v>
      </c>
      <c r="F33" s="5">
        <v>46</v>
      </c>
      <c r="G33" s="5">
        <v>26</v>
      </c>
      <c r="H33" s="6">
        <f t="shared" si="8"/>
        <v>279</v>
      </c>
    </row>
    <row r="34" spans="1:8" x14ac:dyDescent="0.25">
      <c r="A34" s="7" t="s">
        <v>15</v>
      </c>
      <c r="B34" s="7">
        <f t="shared" ref="B34:G34" si="9">SUM(B30:B33)</f>
        <v>95</v>
      </c>
      <c r="C34" s="7">
        <f t="shared" si="9"/>
        <v>101</v>
      </c>
      <c r="D34" s="7">
        <f t="shared" si="9"/>
        <v>109</v>
      </c>
      <c r="E34" s="7">
        <f t="shared" si="9"/>
        <v>84</v>
      </c>
      <c r="F34" s="7">
        <f t="shared" si="9"/>
        <v>89</v>
      </c>
      <c r="G34" s="7">
        <f t="shared" si="9"/>
        <v>44</v>
      </c>
      <c r="H34" s="6">
        <f t="shared" si="8"/>
        <v>522</v>
      </c>
    </row>
    <row r="35" spans="1:8" x14ac:dyDescent="0.25">
      <c r="A35" s="5" t="s">
        <v>33</v>
      </c>
      <c r="B35" s="5">
        <v>19</v>
      </c>
      <c r="C35" s="5"/>
      <c r="D35" s="5"/>
      <c r="E35" s="5"/>
      <c r="F35" s="5"/>
      <c r="G35" s="5"/>
      <c r="H35" s="6">
        <f t="shared" si="8"/>
        <v>19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8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10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10"/>
        <v>0</v>
      </c>
    </row>
    <row r="41" spans="1:8" x14ac:dyDescent="0.25">
      <c r="A41" s="5" t="s">
        <v>28</v>
      </c>
      <c r="B41" s="5"/>
      <c r="C41" s="5"/>
      <c r="D41" s="5"/>
      <c r="E41" s="5"/>
      <c r="F41" s="5"/>
      <c r="G41" s="5"/>
      <c r="H41" s="6">
        <f t="shared" si="10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10"/>
        <v>0</v>
      </c>
    </row>
    <row r="43" spans="1:8" x14ac:dyDescent="0.25">
      <c r="A43" s="7" t="s">
        <v>15</v>
      </c>
      <c r="B43" s="7">
        <f t="shared" ref="B43:G43" si="11">SUM(B39:B42)</f>
        <v>0</v>
      </c>
      <c r="C43" s="7">
        <f t="shared" si="11"/>
        <v>0</v>
      </c>
      <c r="D43" s="7">
        <f t="shared" si="11"/>
        <v>0</v>
      </c>
      <c r="E43" s="7">
        <f t="shared" si="11"/>
        <v>0</v>
      </c>
      <c r="F43" s="7">
        <f t="shared" si="11"/>
        <v>0</v>
      </c>
      <c r="G43" s="7">
        <f t="shared" si="11"/>
        <v>0</v>
      </c>
      <c r="H43" s="6">
        <f t="shared" si="10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10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10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65"/>
  <sheetViews>
    <sheetView topLeftCell="A37" workbookViewId="0">
      <selection activeCell="B57" sqref="B57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45901</v>
      </c>
      <c r="C2" s="4">
        <v>45902</v>
      </c>
      <c r="D2" s="4">
        <v>45903</v>
      </c>
      <c r="E2" s="4">
        <v>45904</v>
      </c>
      <c r="F2" s="4">
        <v>45905</v>
      </c>
      <c r="G2" s="4">
        <v>45906</v>
      </c>
      <c r="H2" s="4">
        <v>45907</v>
      </c>
      <c r="I2" s="2" t="s">
        <v>8</v>
      </c>
    </row>
    <row r="3" spans="1:11" x14ac:dyDescent="0.25">
      <c r="A3" s="5" t="s">
        <v>9</v>
      </c>
      <c r="B3" s="5">
        <v>0</v>
      </c>
      <c r="C3" s="5">
        <v>101</v>
      </c>
      <c r="D3" s="5">
        <v>108</v>
      </c>
      <c r="E3" s="5">
        <v>105</v>
      </c>
      <c r="F3" s="5">
        <v>93</v>
      </c>
      <c r="G3" s="5">
        <v>42</v>
      </c>
      <c r="H3" s="5">
        <v>0</v>
      </c>
      <c r="I3" s="6">
        <f t="shared" ref="I3:I12" si="0">SUM(B3:H3)</f>
        <v>449</v>
      </c>
    </row>
    <row r="4" spans="1:11" x14ac:dyDescent="0.25">
      <c r="A4" s="5" t="s">
        <v>10</v>
      </c>
      <c r="B4" s="5">
        <v>0</v>
      </c>
      <c r="C4" s="5">
        <v>66</v>
      </c>
      <c r="D4" s="5">
        <v>87</v>
      </c>
      <c r="E4" s="5">
        <v>48</v>
      </c>
      <c r="F4" s="5">
        <v>57</v>
      </c>
      <c r="G4" s="5">
        <v>18</v>
      </c>
      <c r="H4" s="5">
        <v>14</v>
      </c>
      <c r="I4" s="6">
        <f t="shared" si="0"/>
        <v>290</v>
      </c>
    </row>
    <row r="5" spans="1:11" x14ac:dyDescent="0.25">
      <c r="A5" s="5" t="s">
        <v>11</v>
      </c>
      <c r="B5" s="5">
        <v>0</v>
      </c>
      <c r="C5" s="5">
        <v>8</v>
      </c>
      <c r="D5" s="5">
        <v>14</v>
      </c>
      <c r="E5" s="5">
        <v>0</v>
      </c>
      <c r="F5" s="5">
        <v>2</v>
      </c>
      <c r="G5" s="5">
        <v>0</v>
      </c>
      <c r="H5" s="5">
        <v>0</v>
      </c>
      <c r="I5" s="6">
        <f t="shared" si="0"/>
        <v>24</v>
      </c>
    </row>
    <row r="6" spans="1:11" x14ac:dyDescent="0.25">
      <c r="A6" s="5" t="s">
        <v>12</v>
      </c>
      <c r="B6" s="5">
        <v>0</v>
      </c>
      <c r="C6" s="5">
        <v>1</v>
      </c>
      <c r="D6" s="5">
        <v>10</v>
      </c>
      <c r="E6" s="5">
        <v>0</v>
      </c>
      <c r="F6" s="5">
        <v>8</v>
      </c>
      <c r="G6" s="5">
        <v>0</v>
      </c>
      <c r="H6" s="5">
        <v>0</v>
      </c>
      <c r="I6" s="6">
        <f t="shared" si="0"/>
        <v>19</v>
      </c>
    </row>
    <row r="7" spans="1:11" x14ac:dyDescent="0.25">
      <c r="A7" s="5" t="s">
        <v>37</v>
      </c>
      <c r="B7" s="5">
        <v>0</v>
      </c>
      <c r="C7" s="5">
        <v>9</v>
      </c>
      <c r="D7" s="5">
        <v>13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22</v>
      </c>
    </row>
    <row r="8" spans="1:11" x14ac:dyDescent="0.25">
      <c r="A8" s="5" t="s">
        <v>42</v>
      </c>
      <c r="B8" s="5">
        <v>0</v>
      </c>
      <c r="C8" s="5">
        <v>1</v>
      </c>
      <c r="D8" s="5">
        <v>4</v>
      </c>
      <c r="E8" s="5">
        <v>1</v>
      </c>
      <c r="F8" s="5">
        <v>0</v>
      </c>
      <c r="G8" s="5">
        <v>0</v>
      </c>
      <c r="H8" s="5">
        <v>0</v>
      </c>
      <c r="I8" s="6">
        <f t="shared" si="0"/>
        <v>6</v>
      </c>
    </row>
    <row r="9" spans="1:11" x14ac:dyDescent="0.25">
      <c r="A9" s="5" t="s">
        <v>44</v>
      </c>
      <c r="B9" s="5">
        <v>0</v>
      </c>
      <c r="C9" s="5">
        <v>0</v>
      </c>
      <c r="D9" s="5">
        <v>5</v>
      </c>
      <c r="E9" s="5">
        <v>2</v>
      </c>
      <c r="F9" s="5">
        <v>4</v>
      </c>
      <c r="G9" s="5">
        <v>0</v>
      </c>
      <c r="H9" s="5">
        <v>0</v>
      </c>
      <c r="I9" s="6">
        <v>11</v>
      </c>
    </row>
    <row r="10" spans="1:11" x14ac:dyDescent="0.25">
      <c r="A10" s="7" t="s">
        <v>15</v>
      </c>
      <c r="B10" s="7">
        <f t="shared" ref="B10:H10" si="1">SUM(B3:B8)</f>
        <v>0</v>
      </c>
      <c r="C10" s="7">
        <f t="shared" si="1"/>
        <v>186</v>
      </c>
      <c r="D10" s="7">
        <v>241</v>
      </c>
      <c r="E10" s="7">
        <v>156</v>
      </c>
      <c r="F10" s="7">
        <v>164</v>
      </c>
      <c r="G10" s="7">
        <f t="shared" si="1"/>
        <v>60</v>
      </c>
      <c r="H10" s="7">
        <f t="shared" si="1"/>
        <v>14</v>
      </c>
      <c r="I10" s="6">
        <v>821</v>
      </c>
      <c r="J10" s="1"/>
      <c r="K10" s="1"/>
    </row>
    <row r="11" spans="1:11" x14ac:dyDescent="0.25">
      <c r="A11" s="5" t="s">
        <v>16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A12" s="5" t="s">
        <v>17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f t="shared" si="0"/>
        <v>0</v>
      </c>
    </row>
    <row r="13" spans="1:11" x14ac:dyDescent="0.25">
      <c r="I13" s="2"/>
    </row>
    <row r="14" spans="1:11" x14ac:dyDescent="0.25">
      <c r="I14" s="2"/>
    </row>
    <row r="15" spans="1:11" x14ac:dyDescent="0.25">
      <c r="A15" s="1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/>
    </row>
    <row r="16" spans="1:11" x14ac:dyDescent="0.25">
      <c r="A16" s="3" t="s">
        <v>7</v>
      </c>
      <c r="B16" s="4">
        <v>45908</v>
      </c>
      <c r="C16" s="4">
        <v>45909</v>
      </c>
      <c r="D16" s="4">
        <v>45910</v>
      </c>
      <c r="E16" s="4">
        <v>45911</v>
      </c>
      <c r="F16" s="4">
        <v>45912</v>
      </c>
      <c r="G16" s="4">
        <v>45913</v>
      </c>
      <c r="H16" s="4">
        <v>45914</v>
      </c>
      <c r="I16" s="2" t="s">
        <v>8</v>
      </c>
    </row>
    <row r="17" spans="1:11" x14ac:dyDescent="0.25">
      <c r="A17" s="5" t="s">
        <v>9</v>
      </c>
      <c r="B17" s="5">
        <v>121</v>
      </c>
      <c r="C17" s="5">
        <v>104</v>
      </c>
      <c r="D17" s="5">
        <v>127</v>
      </c>
      <c r="E17" s="5">
        <v>83</v>
      </c>
      <c r="F17" s="5">
        <v>89</v>
      </c>
      <c r="G17" s="5">
        <v>53</v>
      </c>
      <c r="H17" s="5">
        <v>0</v>
      </c>
      <c r="I17" s="6">
        <f>SUM(B17:H17)</f>
        <v>577</v>
      </c>
    </row>
    <row r="18" spans="1:11" x14ac:dyDescent="0.25">
      <c r="A18" s="5" t="s">
        <v>10</v>
      </c>
      <c r="B18" s="5">
        <v>65</v>
      </c>
      <c r="C18" s="5">
        <v>47</v>
      </c>
      <c r="D18" s="5">
        <v>75</v>
      </c>
      <c r="E18" s="5">
        <v>40</v>
      </c>
      <c r="F18" s="5">
        <v>63</v>
      </c>
      <c r="G18" s="5">
        <v>25</v>
      </c>
      <c r="H18" s="5">
        <v>19</v>
      </c>
      <c r="I18" s="6">
        <f t="shared" ref="I18:I21" si="2">SUM(B18:H18)</f>
        <v>334</v>
      </c>
    </row>
    <row r="19" spans="1:11" x14ac:dyDescent="0.25">
      <c r="A19" s="5" t="s">
        <v>11</v>
      </c>
      <c r="B19" s="5">
        <v>29</v>
      </c>
      <c r="C19" s="5">
        <v>8</v>
      </c>
      <c r="D19" s="5">
        <v>6</v>
      </c>
      <c r="E19" s="5">
        <v>0</v>
      </c>
      <c r="F19" s="5">
        <v>23</v>
      </c>
      <c r="G19" s="5">
        <v>0</v>
      </c>
      <c r="H19" s="5">
        <v>0</v>
      </c>
      <c r="I19" s="6">
        <f t="shared" si="2"/>
        <v>66</v>
      </c>
    </row>
    <row r="20" spans="1:11" x14ac:dyDescent="0.25">
      <c r="A20" s="5" t="s">
        <v>45</v>
      </c>
      <c r="B20" s="5">
        <v>9</v>
      </c>
      <c r="C20" s="5">
        <v>3</v>
      </c>
      <c r="D20" s="5">
        <v>9</v>
      </c>
      <c r="E20" s="5">
        <v>1</v>
      </c>
      <c r="F20" s="5">
        <v>5</v>
      </c>
      <c r="G20" s="5">
        <v>1</v>
      </c>
      <c r="H20" s="5">
        <v>0</v>
      </c>
      <c r="I20" s="6">
        <f t="shared" si="2"/>
        <v>28</v>
      </c>
    </row>
    <row r="21" spans="1:11" x14ac:dyDescent="0.25">
      <c r="A21" s="5" t="s">
        <v>37</v>
      </c>
      <c r="B21" s="5">
        <v>12</v>
      </c>
      <c r="C21" s="5">
        <v>4</v>
      </c>
      <c r="D21" s="5">
        <v>13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29</v>
      </c>
    </row>
    <row r="22" spans="1:11" x14ac:dyDescent="0.25">
      <c r="A22" s="5" t="s">
        <v>42</v>
      </c>
      <c r="B22" s="5">
        <v>9</v>
      </c>
      <c r="C22" s="5">
        <v>3</v>
      </c>
      <c r="D22" s="5">
        <v>7</v>
      </c>
      <c r="E22" s="5">
        <v>0</v>
      </c>
      <c r="F22" s="5">
        <v>1</v>
      </c>
      <c r="G22" s="5">
        <v>0</v>
      </c>
      <c r="H22" s="5">
        <v>0</v>
      </c>
      <c r="I22" s="6">
        <f>SUM(B22:H22)</f>
        <v>20</v>
      </c>
    </row>
    <row r="23" spans="1:11" x14ac:dyDescent="0.25">
      <c r="A23" s="5" t="s">
        <v>44</v>
      </c>
      <c r="B23" s="5">
        <v>4</v>
      </c>
      <c r="C23" s="5">
        <v>0</v>
      </c>
      <c r="D23" s="5">
        <v>6</v>
      </c>
      <c r="E23" s="5">
        <v>0</v>
      </c>
      <c r="F23" s="5">
        <v>1</v>
      </c>
      <c r="G23" s="5">
        <v>0</v>
      </c>
      <c r="H23" s="5">
        <v>0</v>
      </c>
      <c r="I23" s="6">
        <f t="shared" ref="I23" si="3">SUM(B23:H23)</f>
        <v>11</v>
      </c>
      <c r="J23" s="1"/>
      <c r="K23" s="1"/>
    </row>
    <row r="24" spans="1:11" x14ac:dyDescent="0.25">
      <c r="A24" s="7" t="s">
        <v>15</v>
      </c>
      <c r="B24" s="7">
        <v>249</v>
      </c>
      <c r="C24" s="7">
        <f t="shared" ref="C24:G24" si="4">SUM(C17:C22)</f>
        <v>169</v>
      </c>
      <c r="D24" s="7">
        <v>243</v>
      </c>
      <c r="E24" s="7">
        <f t="shared" si="4"/>
        <v>124</v>
      </c>
      <c r="F24" s="7">
        <v>182</v>
      </c>
      <c r="G24" s="7">
        <f t="shared" si="4"/>
        <v>79</v>
      </c>
      <c r="H24" s="7">
        <f>SUM(H17:H22)</f>
        <v>19</v>
      </c>
      <c r="I24" s="6">
        <f>SUM(B24:H24)</f>
        <v>1065</v>
      </c>
    </row>
    <row r="25" spans="1:11" x14ac:dyDescent="0.25">
      <c r="A25" s="5" t="s">
        <v>16</v>
      </c>
      <c r="B25" s="5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f>SUM(B25:H25)</f>
        <v>0</v>
      </c>
    </row>
    <row r="26" spans="1:11" x14ac:dyDescent="0.25">
      <c r="A26" s="5" t="s">
        <v>17</v>
      </c>
      <c r="B26" s="5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6">
        <f>SUM(B26:H26)</f>
        <v>0</v>
      </c>
    </row>
    <row r="27" spans="1:11" x14ac:dyDescent="0.25">
      <c r="I27" s="2"/>
    </row>
    <row r="28" spans="1:11" x14ac:dyDescent="0.25">
      <c r="I28" s="2"/>
    </row>
    <row r="29" spans="1:11" x14ac:dyDescent="0.25">
      <c r="A29" s="1"/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/>
    </row>
    <row r="30" spans="1:11" x14ac:dyDescent="0.25">
      <c r="A30" s="3" t="s">
        <v>7</v>
      </c>
      <c r="B30" s="4">
        <v>45915</v>
      </c>
      <c r="C30" s="4">
        <v>45916</v>
      </c>
      <c r="D30" s="4">
        <v>45917</v>
      </c>
      <c r="E30" s="4">
        <v>45918</v>
      </c>
      <c r="F30" s="4">
        <v>45919</v>
      </c>
      <c r="G30" s="4">
        <v>45920</v>
      </c>
      <c r="H30" s="4">
        <v>45921</v>
      </c>
      <c r="I30" s="2" t="s">
        <v>8</v>
      </c>
    </row>
    <row r="31" spans="1:11" x14ac:dyDescent="0.25">
      <c r="A31" s="5" t="s">
        <v>9</v>
      </c>
      <c r="B31" s="5">
        <v>127</v>
      </c>
      <c r="C31" s="5">
        <v>106</v>
      </c>
      <c r="D31" s="5">
        <v>119</v>
      </c>
      <c r="E31" s="5">
        <v>92</v>
      </c>
      <c r="F31" s="5">
        <v>107</v>
      </c>
      <c r="G31" s="5">
        <v>50</v>
      </c>
      <c r="H31" s="5">
        <v>0</v>
      </c>
      <c r="I31" s="6">
        <f t="shared" ref="I31:I40" si="5">SUM(B31:H31)</f>
        <v>601</v>
      </c>
    </row>
    <row r="32" spans="1:11" x14ac:dyDescent="0.25">
      <c r="A32" s="5" t="s">
        <v>10</v>
      </c>
      <c r="B32" s="5">
        <v>56</v>
      </c>
      <c r="C32" s="5">
        <v>63</v>
      </c>
      <c r="D32" s="5">
        <v>76</v>
      </c>
      <c r="E32" s="5">
        <v>45</v>
      </c>
      <c r="F32" s="5">
        <v>70</v>
      </c>
      <c r="G32" s="5">
        <v>26</v>
      </c>
      <c r="H32" s="5">
        <v>17</v>
      </c>
      <c r="I32" s="6">
        <f t="shared" si="5"/>
        <v>353</v>
      </c>
    </row>
    <row r="33" spans="1:11" x14ac:dyDescent="0.25">
      <c r="A33" s="5" t="s">
        <v>11</v>
      </c>
      <c r="B33" s="5">
        <v>20</v>
      </c>
      <c r="C33" s="5">
        <v>10</v>
      </c>
      <c r="D33" s="5">
        <v>11</v>
      </c>
      <c r="E33" s="5">
        <v>0</v>
      </c>
      <c r="F33" s="5">
        <v>0</v>
      </c>
      <c r="G33" s="5">
        <v>1</v>
      </c>
      <c r="H33" s="5">
        <v>0</v>
      </c>
      <c r="I33" s="6">
        <f t="shared" si="5"/>
        <v>42</v>
      </c>
    </row>
    <row r="34" spans="1:11" x14ac:dyDescent="0.25">
      <c r="A34" s="5" t="s">
        <v>46</v>
      </c>
      <c r="B34" s="5">
        <v>3</v>
      </c>
      <c r="C34" s="5">
        <v>4</v>
      </c>
      <c r="D34" s="5">
        <v>7</v>
      </c>
      <c r="E34" s="5">
        <v>2</v>
      </c>
      <c r="F34" s="5">
        <v>6</v>
      </c>
      <c r="G34" s="5">
        <v>0</v>
      </c>
      <c r="H34" s="5">
        <v>0</v>
      </c>
      <c r="I34" s="6">
        <f t="shared" si="5"/>
        <v>22</v>
      </c>
    </row>
    <row r="35" spans="1:11" x14ac:dyDescent="0.25">
      <c r="A35" s="5" t="s">
        <v>40</v>
      </c>
      <c r="B35" s="5">
        <v>5</v>
      </c>
      <c r="C35" s="5">
        <v>11</v>
      </c>
      <c r="D35" s="5">
        <v>12</v>
      </c>
      <c r="E35" s="5">
        <v>5</v>
      </c>
      <c r="F35" s="5">
        <v>0</v>
      </c>
      <c r="G35" s="5">
        <v>0</v>
      </c>
      <c r="H35" s="5">
        <v>0</v>
      </c>
      <c r="I35" s="6">
        <f t="shared" si="5"/>
        <v>33</v>
      </c>
    </row>
    <row r="36" spans="1:11" x14ac:dyDescent="0.25">
      <c r="A36" s="5" t="s">
        <v>47</v>
      </c>
      <c r="B36" s="5">
        <v>0</v>
      </c>
      <c r="C36" s="5">
        <v>2</v>
      </c>
      <c r="D36" s="5">
        <v>7</v>
      </c>
      <c r="E36" s="5">
        <v>3</v>
      </c>
      <c r="F36" s="5">
        <v>1</v>
      </c>
      <c r="G36" s="5">
        <v>1</v>
      </c>
      <c r="H36" s="5">
        <v>0</v>
      </c>
      <c r="I36" s="6">
        <f t="shared" si="5"/>
        <v>14</v>
      </c>
      <c r="J36" s="1"/>
      <c r="K36" s="1"/>
    </row>
    <row r="37" spans="1:11" x14ac:dyDescent="0.25">
      <c r="A37" s="5" t="s">
        <v>44</v>
      </c>
      <c r="B37" s="5">
        <v>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ref="I37" si="6">SUM(B37:H37)</f>
        <v>4</v>
      </c>
    </row>
    <row r="38" spans="1:11" x14ac:dyDescent="0.25">
      <c r="A38" s="7" t="s">
        <v>15</v>
      </c>
      <c r="B38" s="7">
        <v>215</v>
      </c>
      <c r="C38" s="7">
        <f t="shared" ref="C38:H38" si="7">SUM(C31:C36)</f>
        <v>196</v>
      </c>
      <c r="D38" s="7">
        <f t="shared" si="7"/>
        <v>232</v>
      </c>
      <c r="E38" s="7">
        <f t="shared" si="7"/>
        <v>147</v>
      </c>
      <c r="F38" s="7">
        <f t="shared" si="7"/>
        <v>184</v>
      </c>
      <c r="G38" s="7">
        <f t="shared" si="7"/>
        <v>78</v>
      </c>
      <c r="H38" s="7">
        <f t="shared" si="7"/>
        <v>17</v>
      </c>
      <c r="I38" s="6">
        <f t="shared" si="5"/>
        <v>1069</v>
      </c>
    </row>
    <row r="39" spans="1:11" x14ac:dyDescent="0.25">
      <c r="A39" s="5" t="s">
        <v>16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>
        <f t="shared" si="5"/>
        <v>0</v>
      </c>
    </row>
    <row r="40" spans="1:11" x14ac:dyDescent="0.25">
      <c r="A40" s="5" t="s">
        <v>17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6">
        <f t="shared" si="5"/>
        <v>0</v>
      </c>
    </row>
    <row r="41" spans="1:11" x14ac:dyDescent="0.25">
      <c r="I41" s="2"/>
    </row>
    <row r="42" spans="1:11" x14ac:dyDescent="0.25">
      <c r="I42" s="2"/>
    </row>
    <row r="43" spans="1:11" x14ac:dyDescent="0.25">
      <c r="A43" s="1"/>
      <c r="B43" s="2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  <c r="I43" s="2"/>
    </row>
    <row r="44" spans="1:11" x14ac:dyDescent="0.25">
      <c r="A44" s="3" t="s">
        <v>7</v>
      </c>
      <c r="B44" s="4">
        <v>45922</v>
      </c>
      <c r="C44" s="4">
        <v>45923</v>
      </c>
      <c r="D44" s="4">
        <v>45924</v>
      </c>
      <c r="E44" s="4">
        <v>45925</v>
      </c>
      <c r="F44" s="4">
        <v>45926</v>
      </c>
      <c r="G44" s="4">
        <v>45927</v>
      </c>
      <c r="H44" s="4">
        <v>45928</v>
      </c>
      <c r="I44" s="2" t="s">
        <v>8</v>
      </c>
    </row>
    <row r="45" spans="1:11" x14ac:dyDescent="0.25">
      <c r="A45" s="5" t="s">
        <v>9</v>
      </c>
      <c r="B45" s="5">
        <v>120</v>
      </c>
      <c r="C45" s="5">
        <v>108</v>
      </c>
      <c r="D45" s="5">
        <v>130</v>
      </c>
      <c r="E45" s="5">
        <v>107</v>
      </c>
      <c r="F45" s="5">
        <v>95</v>
      </c>
      <c r="G45" s="5">
        <v>51</v>
      </c>
      <c r="H45" s="5">
        <v>0</v>
      </c>
      <c r="I45" s="6">
        <f t="shared" ref="I45:I53" si="8">SUM(B45:H45)</f>
        <v>611</v>
      </c>
    </row>
    <row r="46" spans="1:11" x14ac:dyDescent="0.25">
      <c r="A46" s="5" t="s">
        <v>10</v>
      </c>
      <c r="B46" s="5">
        <v>50</v>
      </c>
      <c r="C46" s="5">
        <v>62</v>
      </c>
      <c r="D46" s="5">
        <v>80</v>
      </c>
      <c r="E46" s="5">
        <v>46</v>
      </c>
      <c r="F46" s="5">
        <v>64</v>
      </c>
      <c r="G46" s="5">
        <v>32</v>
      </c>
      <c r="H46" s="5">
        <v>8</v>
      </c>
      <c r="I46" s="6">
        <f t="shared" si="8"/>
        <v>342</v>
      </c>
    </row>
    <row r="47" spans="1:11" x14ac:dyDescent="0.25">
      <c r="A47" s="5" t="s">
        <v>11</v>
      </c>
      <c r="B47" s="5">
        <v>19</v>
      </c>
      <c r="C47" s="5">
        <v>11</v>
      </c>
      <c r="D47" s="5">
        <v>19</v>
      </c>
      <c r="E47" s="5">
        <v>0</v>
      </c>
      <c r="F47" s="5">
        <v>0</v>
      </c>
      <c r="G47" s="5">
        <v>0</v>
      </c>
      <c r="H47" s="5">
        <v>0</v>
      </c>
      <c r="I47" s="6">
        <f t="shared" si="8"/>
        <v>49</v>
      </c>
    </row>
    <row r="48" spans="1:11" x14ac:dyDescent="0.25">
      <c r="A48" s="5" t="s">
        <v>46</v>
      </c>
      <c r="B48" s="5">
        <v>7</v>
      </c>
      <c r="C48" s="5">
        <v>10</v>
      </c>
      <c r="D48" s="5">
        <v>7</v>
      </c>
      <c r="E48" s="5">
        <v>1</v>
      </c>
      <c r="F48" s="5">
        <v>13</v>
      </c>
      <c r="G48" s="5">
        <v>0</v>
      </c>
      <c r="H48" s="5">
        <v>0</v>
      </c>
      <c r="I48" s="6">
        <f t="shared" si="8"/>
        <v>38</v>
      </c>
    </row>
    <row r="49" spans="1:11" x14ac:dyDescent="0.25">
      <c r="A49" s="5" t="s">
        <v>47</v>
      </c>
      <c r="B49" s="5">
        <v>2</v>
      </c>
      <c r="C49" s="5">
        <v>2</v>
      </c>
      <c r="D49" s="5">
        <v>6</v>
      </c>
      <c r="E49" s="5">
        <v>2</v>
      </c>
      <c r="F49" s="5">
        <v>1</v>
      </c>
      <c r="G49" s="5">
        <v>2</v>
      </c>
      <c r="H49" s="5">
        <v>0</v>
      </c>
      <c r="I49" s="6">
        <f t="shared" si="8"/>
        <v>15</v>
      </c>
      <c r="J49" s="1"/>
      <c r="K49" s="1"/>
    </row>
    <row r="50" spans="1:11" x14ac:dyDescent="0.25">
      <c r="A50" s="5" t="s">
        <v>49</v>
      </c>
      <c r="B50" s="5">
        <v>5</v>
      </c>
      <c r="C50" s="5">
        <v>13</v>
      </c>
      <c r="D50" s="5">
        <v>13</v>
      </c>
      <c r="E50" s="5">
        <v>2</v>
      </c>
      <c r="F50" s="5">
        <v>0</v>
      </c>
      <c r="G50" s="5">
        <v>0</v>
      </c>
      <c r="H50" s="5">
        <v>0</v>
      </c>
      <c r="I50" s="6">
        <f t="shared" si="8"/>
        <v>33</v>
      </c>
    </row>
    <row r="51" spans="1:11" x14ac:dyDescent="0.25">
      <c r="A51" s="7" t="s">
        <v>15</v>
      </c>
      <c r="B51" s="7">
        <f>SUM(B45:B50)</f>
        <v>203</v>
      </c>
      <c r="C51" s="7">
        <f t="shared" ref="C51:H51" si="9">SUM(C45:C50)</f>
        <v>206</v>
      </c>
      <c r="D51" s="7">
        <f t="shared" si="9"/>
        <v>255</v>
      </c>
      <c r="E51" s="7">
        <f t="shared" si="9"/>
        <v>158</v>
      </c>
      <c r="F51" s="7">
        <f t="shared" si="9"/>
        <v>173</v>
      </c>
      <c r="G51" s="7">
        <f t="shared" si="9"/>
        <v>85</v>
      </c>
      <c r="H51" s="7">
        <f t="shared" si="9"/>
        <v>8</v>
      </c>
      <c r="I51" s="6">
        <f t="shared" si="8"/>
        <v>1088</v>
      </c>
    </row>
    <row r="52" spans="1:11" x14ac:dyDescent="0.25">
      <c r="A52" s="5" t="s">
        <v>32</v>
      </c>
      <c r="B52" s="5">
        <v>3</v>
      </c>
      <c r="C52" s="5">
        <v>0</v>
      </c>
      <c r="D52" s="5">
        <v>5</v>
      </c>
      <c r="E52" s="5">
        <v>0</v>
      </c>
      <c r="F52" s="5">
        <v>4</v>
      </c>
      <c r="G52" s="5">
        <v>0</v>
      </c>
      <c r="H52" s="5">
        <v>0</v>
      </c>
      <c r="I52" s="6">
        <f t="shared" si="8"/>
        <v>12</v>
      </c>
    </row>
    <row r="53" spans="1:11" x14ac:dyDescent="0.25">
      <c r="A53" s="5" t="s">
        <v>17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6">
        <f t="shared" si="8"/>
        <v>0</v>
      </c>
    </row>
    <row r="54" spans="1:11" x14ac:dyDescent="0.25">
      <c r="I54" s="2"/>
    </row>
    <row r="55" spans="1:11" x14ac:dyDescent="0.25">
      <c r="A55" s="1"/>
      <c r="B55" s="2" t="s">
        <v>0</v>
      </c>
      <c r="C55" s="2" t="s">
        <v>1</v>
      </c>
      <c r="D55" s="2" t="s">
        <v>2</v>
      </c>
      <c r="E55" s="2" t="s">
        <v>3</v>
      </c>
      <c r="F55" s="2" t="s">
        <v>4</v>
      </c>
      <c r="G55" s="2" t="s">
        <v>5</v>
      </c>
      <c r="H55" s="2" t="s">
        <v>6</v>
      </c>
      <c r="I55" s="2"/>
    </row>
    <row r="56" spans="1:11" x14ac:dyDescent="0.25">
      <c r="A56" s="3" t="s">
        <v>7</v>
      </c>
      <c r="B56" s="4"/>
      <c r="C56" s="4"/>
      <c r="D56" s="4"/>
      <c r="E56" s="4"/>
      <c r="F56" s="4"/>
      <c r="G56" s="4"/>
      <c r="H56" s="4"/>
      <c r="I56" s="2" t="s">
        <v>8</v>
      </c>
    </row>
    <row r="57" spans="1:11" x14ac:dyDescent="0.25">
      <c r="A57" s="5" t="s">
        <v>9</v>
      </c>
      <c r="B57" s="5"/>
      <c r="C57" s="5"/>
      <c r="D57" s="5"/>
      <c r="E57" s="5"/>
      <c r="F57" s="5"/>
      <c r="G57" s="5"/>
      <c r="H57" s="5"/>
      <c r="I57" s="6">
        <f t="shared" ref="I57:I65" si="10">SUM(B57:H57)</f>
        <v>0</v>
      </c>
    </row>
    <row r="58" spans="1:11" x14ac:dyDescent="0.25">
      <c r="A58" s="5" t="s">
        <v>10</v>
      </c>
      <c r="B58" s="5"/>
      <c r="C58" s="5"/>
      <c r="D58" s="5"/>
      <c r="E58" s="5"/>
      <c r="F58" s="5"/>
      <c r="G58" s="5"/>
      <c r="H58" s="5"/>
      <c r="I58" s="6">
        <f t="shared" si="10"/>
        <v>0</v>
      </c>
    </row>
    <row r="59" spans="1:11" x14ac:dyDescent="0.25">
      <c r="A59" s="5" t="s">
        <v>11</v>
      </c>
      <c r="B59" s="5"/>
      <c r="C59" s="5"/>
      <c r="D59" s="5"/>
      <c r="E59" s="5"/>
      <c r="F59" s="5"/>
      <c r="G59" s="5"/>
      <c r="H59" s="5"/>
      <c r="I59" s="6">
        <f t="shared" si="10"/>
        <v>0</v>
      </c>
    </row>
    <row r="60" spans="1:11" x14ac:dyDescent="0.25">
      <c r="A60" s="5" t="s">
        <v>12</v>
      </c>
      <c r="B60" s="5"/>
      <c r="C60" s="5"/>
      <c r="D60" s="5"/>
      <c r="E60" s="5"/>
      <c r="F60" s="5"/>
      <c r="G60" s="5"/>
      <c r="H60" s="5"/>
      <c r="I60" s="6">
        <f t="shared" si="10"/>
        <v>0</v>
      </c>
    </row>
    <row r="61" spans="1:11" x14ac:dyDescent="0.25">
      <c r="A61" s="5" t="s">
        <v>13</v>
      </c>
      <c r="B61" s="5"/>
      <c r="C61" s="5"/>
      <c r="D61" s="5"/>
      <c r="E61" s="5"/>
      <c r="F61" s="5"/>
      <c r="G61" s="5"/>
      <c r="H61" s="5"/>
      <c r="I61" s="6">
        <f t="shared" si="10"/>
        <v>0</v>
      </c>
      <c r="J61" s="1"/>
      <c r="K61" s="1"/>
    </row>
    <row r="62" spans="1:11" x14ac:dyDescent="0.25">
      <c r="A62" s="5" t="s">
        <v>14</v>
      </c>
      <c r="B62" s="5"/>
      <c r="C62" s="5"/>
      <c r="D62" s="5"/>
      <c r="E62" s="5"/>
      <c r="F62" s="5"/>
      <c r="G62" s="5"/>
      <c r="H62" s="5"/>
      <c r="I62" s="6">
        <f t="shared" si="10"/>
        <v>0</v>
      </c>
      <c r="K62">
        <f>I63+I51+I38+I24+I10</f>
        <v>4043</v>
      </c>
    </row>
    <row r="63" spans="1:11" x14ac:dyDescent="0.25">
      <c r="A63" s="7" t="s">
        <v>15</v>
      </c>
      <c r="B63" s="7">
        <f t="shared" ref="B63:H63" si="11">SUM(B57:B62)</f>
        <v>0</v>
      </c>
      <c r="C63" s="7">
        <f t="shared" si="11"/>
        <v>0</v>
      </c>
      <c r="D63" s="7">
        <f t="shared" si="11"/>
        <v>0</v>
      </c>
      <c r="E63" s="7">
        <f t="shared" si="11"/>
        <v>0</v>
      </c>
      <c r="F63" s="7">
        <f t="shared" si="11"/>
        <v>0</v>
      </c>
      <c r="G63" s="7">
        <f t="shared" si="11"/>
        <v>0</v>
      </c>
      <c r="H63" s="7">
        <f t="shared" si="11"/>
        <v>0</v>
      </c>
      <c r="I63" s="6">
        <f t="shared" si="10"/>
        <v>0</v>
      </c>
    </row>
    <row r="64" spans="1:11" x14ac:dyDescent="0.25">
      <c r="A64" s="5" t="s">
        <v>18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6">
        <f t="shared" si="10"/>
        <v>0</v>
      </c>
    </row>
    <row r="65" spans="1:9" x14ac:dyDescent="0.25">
      <c r="A65" s="5" t="s">
        <v>17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6">
        <f t="shared" si="10"/>
        <v>0</v>
      </c>
    </row>
  </sheetData>
  <pageMargins left="0.7" right="0.7" top="0.75" bottom="0.75" header="0.3" footer="0.3"/>
  <pageSetup scale="76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5"/>
  <sheetViews>
    <sheetView topLeftCell="A21" workbookViewId="0">
      <selection activeCell="C35" sqref="C35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45537</v>
      </c>
      <c r="C2" s="4">
        <v>45538</v>
      </c>
      <c r="D2" s="4">
        <v>45539</v>
      </c>
      <c r="E2" s="4">
        <v>45540</v>
      </c>
      <c r="F2" s="4">
        <v>45541</v>
      </c>
      <c r="G2" s="4">
        <v>45542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21</v>
      </c>
      <c r="F3" s="5">
        <v>20</v>
      </c>
      <c r="G3" s="5">
        <v>17</v>
      </c>
      <c r="H3" s="6">
        <f t="shared" ref="H3:H9" si="0">SUM(B3:G3)</f>
        <v>58</v>
      </c>
    </row>
    <row r="4" spans="1:8" x14ac:dyDescent="0.25">
      <c r="A4" s="5" t="s">
        <v>21</v>
      </c>
      <c r="B4" s="5">
        <v>0</v>
      </c>
      <c r="C4" s="5">
        <v>35</v>
      </c>
      <c r="D4" s="5">
        <v>35</v>
      </c>
      <c r="E4" s="5">
        <v>29</v>
      </c>
      <c r="F4" s="5">
        <v>25</v>
      </c>
      <c r="G4" s="5">
        <v>0</v>
      </c>
      <c r="H4" s="6">
        <f t="shared" si="0"/>
        <v>124</v>
      </c>
    </row>
    <row r="5" spans="1:8" x14ac:dyDescent="0.25">
      <c r="A5" s="5" t="s">
        <v>38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66</v>
      </c>
      <c r="D6" s="5">
        <v>73</v>
      </c>
      <c r="E6" s="5">
        <v>55</v>
      </c>
      <c r="F6" s="5">
        <v>48</v>
      </c>
      <c r="G6" s="5">
        <v>25</v>
      </c>
      <c r="H6" s="6">
        <f t="shared" si="0"/>
        <v>267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101</v>
      </c>
      <c r="D7" s="7">
        <f t="shared" si="1"/>
        <v>108</v>
      </c>
      <c r="E7" s="7">
        <f t="shared" si="1"/>
        <v>105</v>
      </c>
      <c r="F7" s="7">
        <f t="shared" si="1"/>
        <v>93</v>
      </c>
      <c r="G7" s="7">
        <f t="shared" si="1"/>
        <v>42</v>
      </c>
      <c r="H7" s="6">
        <f t="shared" si="0"/>
        <v>449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45908</v>
      </c>
      <c r="C11" s="4">
        <v>45909</v>
      </c>
      <c r="D11" s="4">
        <v>45910</v>
      </c>
      <c r="E11" s="4">
        <v>45911</v>
      </c>
      <c r="F11" s="4">
        <v>45912</v>
      </c>
      <c r="G11" s="4">
        <v>45913</v>
      </c>
      <c r="H11" s="3" t="s">
        <v>19</v>
      </c>
    </row>
    <row r="12" spans="1:8" x14ac:dyDescent="0.25">
      <c r="A12" s="5" t="s">
        <v>20</v>
      </c>
      <c r="B12" s="5">
        <v>18</v>
      </c>
      <c r="C12" s="5">
        <v>27</v>
      </c>
      <c r="D12" s="5">
        <v>27</v>
      </c>
      <c r="E12" s="5">
        <v>26</v>
      </c>
      <c r="F12" s="5">
        <v>20</v>
      </c>
      <c r="G12" s="5">
        <v>0</v>
      </c>
      <c r="H12" s="6">
        <f t="shared" ref="H12:H18" si="2">SUM(B12:G12)</f>
        <v>118</v>
      </c>
    </row>
    <row r="13" spans="1:8" x14ac:dyDescent="0.25">
      <c r="A13" s="5" t="s">
        <v>21</v>
      </c>
      <c r="B13" s="5">
        <v>37</v>
      </c>
      <c r="C13" s="5">
        <v>26</v>
      </c>
      <c r="D13" s="5">
        <v>38</v>
      </c>
      <c r="E13" s="5">
        <v>17</v>
      </c>
      <c r="F13" s="5">
        <v>28</v>
      </c>
      <c r="G13" s="5">
        <v>22</v>
      </c>
      <c r="H13" s="6">
        <f t="shared" si="2"/>
        <v>168</v>
      </c>
    </row>
    <row r="14" spans="1:8" x14ac:dyDescent="0.25">
      <c r="A14" s="5" t="s">
        <v>33</v>
      </c>
      <c r="B14" s="5">
        <v>20</v>
      </c>
      <c r="C14" s="5">
        <v>0</v>
      </c>
      <c r="D14" s="5">
        <v>0</v>
      </c>
      <c r="E14" s="5">
        <v>0</v>
      </c>
      <c r="F14" s="5"/>
      <c r="G14" s="5">
        <v>0</v>
      </c>
      <c r="H14" s="6">
        <f t="shared" si="2"/>
        <v>20</v>
      </c>
    </row>
    <row r="15" spans="1:8" x14ac:dyDescent="0.25">
      <c r="A15" s="5" t="s">
        <v>23</v>
      </c>
      <c r="B15" s="5">
        <v>46</v>
      </c>
      <c r="C15" s="5">
        <v>51</v>
      </c>
      <c r="D15" s="5">
        <v>62</v>
      </c>
      <c r="E15" s="5">
        <v>40</v>
      </c>
      <c r="F15" s="5">
        <v>41</v>
      </c>
      <c r="G15" s="5">
        <v>31</v>
      </c>
      <c r="H15" s="6">
        <f t="shared" si="2"/>
        <v>271</v>
      </c>
    </row>
    <row r="16" spans="1:8" x14ac:dyDescent="0.25">
      <c r="A16" s="7" t="s">
        <v>15</v>
      </c>
      <c r="B16" s="7">
        <f t="shared" ref="B16:G16" si="3">SUM(B12:B15)</f>
        <v>121</v>
      </c>
      <c r="C16" s="7">
        <f t="shared" si="3"/>
        <v>104</v>
      </c>
      <c r="D16" s="7">
        <f t="shared" si="3"/>
        <v>127</v>
      </c>
      <c r="E16" s="7">
        <f>SUM(E12:E15)</f>
        <v>83</v>
      </c>
      <c r="F16" s="7">
        <f t="shared" si="3"/>
        <v>89</v>
      </c>
      <c r="G16" s="7">
        <f t="shared" si="3"/>
        <v>53</v>
      </c>
      <c r="H16" s="6">
        <f t="shared" si="2"/>
        <v>577</v>
      </c>
    </row>
    <row r="17" spans="1:8" x14ac:dyDescent="0.25">
      <c r="A17" s="5" t="s">
        <v>30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22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45915</v>
      </c>
      <c r="C20" s="4">
        <v>45916</v>
      </c>
      <c r="D20" s="4">
        <v>45917</v>
      </c>
      <c r="E20" s="4">
        <v>45918</v>
      </c>
      <c r="F20" s="4">
        <v>45919</v>
      </c>
      <c r="G20" s="4">
        <v>45920</v>
      </c>
      <c r="H20" s="3" t="s">
        <v>19</v>
      </c>
    </row>
    <row r="21" spans="1:8" x14ac:dyDescent="0.25">
      <c r="A21" s="5" t="s">
        <v>20</v>
      </c>
      <c r="B21" s="5">
        <v>23</v>
      </c>
      <c r="C21" s="5">
        <v>17</v>
      </c>
      <c r="D21" s="5">
        <v>16</v>
      </c>
      <c r="E21" s="5">
        <v>15</v>
      </c>
      <c r="F21" s="5">
        <v>22</v>
      </c>
      <c r="G21" s="5">
        <v>19</v>
      </c>
      <c r="H21" s="6">
        <f t="shared" ref="H21:H27" si="4">SUM(B21:G21)</f>
        <v>112</v>
      </c>
    </row>
    <row r="22" spans="1:8" x14ac:dyDescent="0.25">
      <c r="A22" s="5" t="s">
        <v>21</v>
      </c>
      <c r="B22" s="5">
        <v>22</v>
      </c>
      <c r="C22" s="5">
        <v>26</v>
      </c>
      <c r="D22" s="5">
        <v>28</v>
      </c>
      <c r="E22" s="5">
        <v>25</v>
      </c>
      <c r="F22" s="5">
        <v>30</v>
      </c>
      <c r="G22" s="5">
        <v>0</v>
      </c>
      <c r="H22" s="6">
        <f t="shared" si="4"/>
        <v>131</v>
      </c>
    </row>
    <row r="23" spans="1:8" x14ac:dyDescent="0.25">
      <c r="A23" s="5" t="s">
        <v>38</v>
      </c>
      <c r="B23" s="5">
        <v>11</v>
      </c>
      <c r="C23" s="5">
        <v>11</v>
      </c>
      <c r="D23" s="5">
        <v>14</v>
      </c>
      <c r="E23" s="5">
        <v>7</v>
      </c>
      <c r="F23" s="5">
        <v>12</v>
      </c>
      <c r="G23" s="5">
        <v>0</v>
      </c>
      <c r="H23" s="6">
        <f t="shared" si="4"/>
        <v>55</v>
      </c>
    </row>
    <row r="24" spans="1:8" x14ac:dyDescent="0.25">
      <c r="A24" s="5" t="s">
        <v>23</v>
      </c>
      <c r="B24" s="5">
        <v>41</v>
      </c>
      <c r="C24" s="5">
        <v>51</v>
      </c>
      <c r="D24" s="5">
        <v>61</v>
      </c>
      <c r="E24" s="5">
        <v>45</v>
      </c>
      <c r="F24" s="5">
        <v>43</v>
      </c>
      <c r="G24" s="5">
        <v>31</v>
      </c>
      <c r="H24" s="6">
        <f t="shared" si="4"/>
        <v>272</v>
      </c>
    </row>
    <row r="25" spans="1:8" x14ac:dyDescent="0.25">
      <c r="A25" s="7" t="s">
        <v>15</v>
      </c>
      <c r="B25" s="7">
        <f t="shared" ref="B25:G25" si="5">SUM(B21:B24)</f>
        <v>97</v>
      </c>
      <c r="C25" s="7">
        <f t="shared" si="5"/>
        <v>105</v>
      </c>
      <c r="D25" s="7">
        <f t="shared" si="5"/>
        <v>119</v>
      </c>
      <c r="E25" s="7">
        <f>SUM(E21:E24)</f>
        <v>92</v>
      </c>
      <c r="F25" s="7">
        <f t="shared" si="5"/>
        <v>107</v>
      </c>
      <c r="G25" s="7">
        <f t="shared" si="5"/>
        <v>50</v>
      </c>
      <c r="H25" s="6">
        <f t="shared" si="4"/>
        <v>570</v>
      </c>
    </row>
    <row r="26" spans="1:8" x14ac:dyDescent="0.25">
      <c r="A26" s="5" t="s">
        <v>33</v>
      </c>
      <c r="B26" s="5">
        <v>17</v>
      </c>
      <c r="C26" s="5"/>
      <c r="D26" s="5"/>
      <c r="E26" s="5"/>
      <c r="F26" s="5"/>
      <c r="G26" s="5"/>
      <c r="H26" s="6">
        <f t="shared" si="4"/>
        <v>17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45922</v>
      </c>
      <c r="C29" s="4">
        <v>45923</v>
      </c>
      <c r="D29" s="4">
        <v>45924</v>
      </c>
      <c r="E29" s="4">
        <v>45925</v>
      </c>
      <c r="F29" s="4">
        <v>45926</v>
      </c>
      <c r="G29" s="4">
        <v>45927</v>
      </c>
      <c r="H29" s="3" t="s">
        <v>19</v>
      </c>
    </row>
    <row r="30" spans="1:8" x14ac:dyDescent="0.25">
      <c r="A30" s="5" t="s">
        <v>20</v>
      </c>
      <c r="B30" s="5">
        <v>23</v>
      </c>
      <c r="C30" s="5">
        <v>22</v>
      </c>
      <c r="D30" s="5">
        <v>24</v>
      </c>
      <c r="E30" s="5">
        <v>20</v>
      </c>
      <c r="F30" s="5">
        <v>18</v>
      </c>
      <c r="G30" s="5">
        <v>0</v>
      </c>
      <c r="H30" s="6">
        <f>SUM(B30:G30)</f>
        <v>107</v>
      </c>
    </row>
    <row r="31" spans="1:8" x14ac:dyDescent="0.25">
      <c r="A31" s="5" t="s">
        <v>21</v>
      </c>
      <c r="B31" s="5">
        <v>26</v>
      </c>
      <c r="C31" s="5">
        <v>23</v>
      </c>
      <c r="D31" s="5">
        <v>30</v>
      </c>
      <c r="E31" s="5">
        <v>29</v>
      </c>
      <c r="F31" s="5">
        <v>23</v>
      </c>
      <c r="G31" s="5">
        <v>22</v>
      </c>
      <c r="H31" s="6">
        <f t="shared" ref="H31:H36" si="6">SUM(B31:G31)</f>
        <v>153</v>
      </c>
    </row>
    <row r="32" spans="1:8" x14ac:dyDescent="0.25">
      <c r="A32" s="5" t="s">
        <v>48</v>
      </c>
      <c r="B32" s="5">
        <v>14</v>
      </c>
      <c r="C32" s="5">
        <v>10</v>
      </c>
      <c r="D32" s="5">
        <v>16</v>
      </c>
      <c r="E32" s="5">
        <v>12</v>
      </c>
      <c r="F32" s="5">
        <v>11</v>
      </c>
      <c r="G32" s="5">
        <v>0</v>
      </c>
      <c r="H32" s="6">
        <f t="shared" si="6"/>
        <v>63</v>
      </c>
    </row>
    <row r="33" spans="1:8" x14ac:dyDescent="0.25">
      <c r="A33" s="5" t="s">
        <v>23</v>
      </c>
      <c r="B33" s="5">
        <v>45</v>
      </c>
      <c r="C33" s="5">
        <v>53</v>
      </c>
      <c r="D33" s="5">
        <v>60</v>
      </c>
      <c r="E33" s="5">
        <v>46</v>
      </c>
      <c r="F33" s="5">
        <v>43</v>
      </c>
      <c r="G33" s="5">
        <v>29</v>
      </c>
      <c r="H33" s="6">
        <f t="shared" si="6"/>
        <v>276</v>
      </c>
    </row>
    <row r="34" spans="1:8" x14ac:dyDescent="0.25">
      <c r="A34" s="7" t="s">
        <v>15</v>
      </c>
      <c r="B34" s="7">
        <f t="shared" ref="B34:G34" si="7">SUM(B30:B33)</f>
        <v>108</v>
      </c>
      <c r="C34" s="7">
        <f t="shared" si="7"/>
        <v>108</v>
      </c>
      <c r="D34" s="7">
        <f t="shared" si="7"/>
        <v>130</v>
      </c>
      <c r="E34" s="7">
        <f t="shared" si="7"/>
        <v>107</v>
      </c>
      <c r="F34" s="7">
        <f t="shared" si="7"/>
        <v>95</v>
      </c>
      <c r="G34" s="7">
        <f t="shared" si="7"/>
        <v>51</v>
      </c>
      <c r="H34" s="6">
        <f t="shared" si="6"/>
        <v>599</v>
      </c>
    </row>
    <row r="35" spans="1:8" x14ac:dyDescent="0.25">
      <c r="A35" s="5" t="s">
        <v>34</v>
      </c>
      <c r="B35" s="5">
        <v>12</v>
      </c>
      <c r="C35" s="5"/>
      <c r="D35" s="5"/>
      <c r="E35" s="5"/>
      <c r="F35" s="5"/>
      <c r="G35" s="5"/>
      <c r="H35" s="6">
        <f t="shared" si="6"/>
        <v>12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28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62"/>
  <sheetViews>
    <sheetView topLeftCell="A56" workbookViewId="0">
      <selection activeCell="B55" sqref="B55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45929</v>
      </c>
      <c r="C2" s="4">
        <v>45930</v>
      </c>
      <c r="D2" s="4">
        <v>45931</v>
      </c>
      <c r="E2" s="4">
        <v>45932</v>
      </c>
      <c r="F2" s="4">
        <v>45933</v>
      </c>
      <c r="G2" s="4">
        <v>45934</v>
      </c>
      <c r="H2" s="4">
        <v>45935</v>
      </c>
      <c r="I2" s="2" t="s">
        <v>8</v>
      </c>
    </row>
    <row r="3" spans="1:11" x14ac:dyDescent="0.25">
      <c r="A3" s="5" t="s">
        <v>9</v>
      </c>
      <c r="B3" s="5">
        <v>113</v>
      </c>
      <c r="C3" s="5">
        <v>111</v>
      </c>
      <c r="D3" s="5">
        <v>120</v>
      </c>
      <c r="E3" s="5">
        <v>109</v>
      </c>
      <c r="F3" s="5">
        <v>97</v>
      </c>
      <c r="G3" s="5">
        <v>49</v>
      </c>
      <c r="H3" s="5">
        <v>0</v>
      </c>
      <c r="I3" s="6">
        <f t="shared" ref="I3:I11" si="0">SUM(B3:H3)</f>
        <v>599</v>
      </c>
    </row>
    <row r="4" spans="1:11" x14ac:dyDescent="0.25">
      <c r="A4" s="5" t="s">
        <v>10</v>
      </c>
      <c r="B4" s="5">
        <v>58</v>
      </c>
      <c r="C4" s="5">
        <v>57</v>
      </c>
      <c r="D4" s="5">
        <v>82</v>
      </c>
      <c r="E4" s="5">
        <v>60</v>
      </c>
      <c r="F4" s="5">
        <v>63</v>
      </c>
      <c r="G4" s="5">
        <v>21</v>
      </c>
      <c r="H4" s="5">
        <v>17</v>
      </c>
      <c r="I4" s="6">
        <f t="shared" si="0"/>
        <v>358</v>
      </c>
    </row>
    <row r="5" spans="1:11" x14ac:dyDescent="0.25">
      <c r="A5" s="5" t="s">
        <v>11</v>
      </c>
      <c r="B5" s="5">
        <v>20</v>
      </c>
      <c r="C5" s="5">
        <v>7</v>
      </c>
      <c r="D5" s="5">
        <v>18</v>
      </c>
      <c r="E5" s="5">
        <v>2</v>
      </c>
      <c r="F5" s="5">
        <v>6</v>
      </c>
      <c r="G5" s="5">
        <v>0</v>
      </c>
      <c r="H5" s="5">
        <v>0</v>
      </c>
      <c r="I5" s="6">
        <f t="shared" si="0"/>
        <v>53</v>
      </c>
    </row>
    <row r="6" spans="1:11" x14ac:dyDescent="0.25">
      <c r="A6" s="5" t="s">
        <v>50</v>
      </c>
      <c r="B6" s="5">
        <v>6</v>
      </c>
      <c r="C6" s="5">
        <v>6</v>
      </c>
      <c r="D6" s="5">
        <v>9</v>
      </c>
      <c r="E6" s="5">
        <v>3</v>
      </c>
      <c r="F6" s="5">
        <v>9</v>
      </c>
      <c r="G6" s="5">
        <v>0</v>
      </c>
      <c r="H6" s="5">
        <v>0</v>
      </c>
      <c r="I6" s="6">
        <f t="shared" si="0"/>
        <v>33</v>
      </c>
    </row>
    <row r="7" spans="1:11" x14ac:dyDescent="0.25">
      <c r="A7" s="5" t="s">
        <v>51</v>
      </c>
      <c r="B7" s="5">
        <v>5</v>
      </c>
      <c r="C7" s="5">
        <v>4</v>
      </c>
      <c r="D7" s="5">
        <v>1</v>
      </c>
      <c r="E7" s="5">
        <v>0</v>
      </c>
      <c r="F7" s="5">
        <v>1</v>
      </c>
      <c r="G7" s="5">
        <v>0</v>
      </c>
      <c r="H7" s="5" t="s">
        <v>54</v>
      </c>
      <c r="I7" s="6">
        <f t="shared" si="0"/>
        <v>11</v>
      </c>
    </row>
    <row r="8" spans="1:11" x14ac:dyDescent="0.25">
      <c r="A8" s="5" t="s">
        <v>52</v>
      </c>
      <c r="B8" s="5">
        <v>15</v>
      </c>
      <c r="C8" s="5">
        <v>11</v>
      </c>
      <c r="D8" s="5">
        <v>12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38</v>
      </c>
    </row>
    <row r="9" spans="1:11" x14ac:dyDescent="0.25">
      <c r="A9" s="7" t="s">
        <v>15</v>
      </c>
      <c r="B9" s="7">
        <f t="shared" ref="B9:H9" si="1">SUM(B3:B8)</f>
        <v>217</v>
      </c>
      <c r="C9" s="7">
        <f t="shared" si="1"/>
        <v>196</v>
      </c>
      <c r="D9" s="7">
        <f t="shared" si="1"/>
        <v>242</v>
      </c>
      <c r="E9" s="7">
        <f t="shared" si="1"/>
        <v>174</v>
      </c>
      <c r="F9" s="7">
        <f t="shared" si="1"/>
        <v>176</v>
      </c>
      <c r="G9" s="7">
        <f t="shared" si="1"/>
        <v>70</v>
      </c>
      <c r="H9" s="7">
        <f t="shared" si="1"/>
        <v>17</v>
      </c>
      <c r="I9" s="6">
        <f t="shared" si="0"/>
        <v>1092</v>
      </c>
      <c r="J9" s="1"/>
      <c r="K9" s="1"/>
    </row>
    <row r="10" spans="1:11" x14ac:dyDescent="0.2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45936</v>
      </c>
      <c r="C15" s="4">
        <v>45937</v>
      </c>
      <c r="D15" s="4">
        <v>45938</v>
      </c>
      <c r="E15" s="4">
        <v>45939</v>
      </c>
      <c r="F15" s="4">
        <v>45940</v>
      </c>
      <c r="G15" s="4">
        <v>45941</v>
      </c>
      <c r="H15" s="4">
        <v>45942</v>
      </c>
      <c r="I15" s="2" t="s">
        <v>8</v>
      </c>
    </row>
    <row r="16" spans="1:11" x14ac:dyDescent="0.25">
      <c r="A16" s="5" t="s">
        <v>9</v>
      </c>
      <c r="B16" s="5">
        <v>135</v>
      </c>
      <c r="C16" s="5">
        <v>117</v>
      </c>
      <c r="D16" s="5">
        <v>129</v>
      </c>
      <c r="E16" s="5">
        <v>109</v>
      </c>
      <c r="F16" s="5">
        <v>96</v>
      </c>
      <c r="G16" s="5">
        <v>28</v>
      </c>
      <c r="H16" s="5">
        <v>0</v>
      </c>
      <c r="I16" s="6">
        <f>SUM(B16:H16)</f>
        <v>614</v>
      </c>
    </row>
    <row r="17" spans="1:11" x14ac:dyDescent="0.25">
      <c r="A17" s="5" t="s">
        <v>10</v>
      </c>
      <c r="B17" s="5">
        <v>67</v>
      </c>
      <c r="C17" s="5">
        <v>60</v>
      </c>
      <c r="D17" s="5">
        <v>82</v>
      </c>
      <c r="E17" s="5">
        <v>52</v>
      </c>
      <c r="F17" s="5">
        <v>68</v>
      </c>
      <c r="G17" s="5">
        <v>19</v>
      </c>
      <c r="H17" s="5">
        <v>20</v>
      </c>
      <c r="I17" s="6">
        <f t="shared" ref="I17:I21" si="2">SUM(B17:H17)</f>
        <v>368</v>
      </c>
    </row>
    <row r="18" spans="1:11" x14ac:dyDescent="0.25">
      <c r="A18" s="5" t="s">
        <v>11</v>
      </c>
      <c r="B18" s="5">
        <v>12</v>
      </c>
      <c r="C18" s="5">
        <v>9</v>
      </c>
      <c r="D18" s="5">
        <v>4</v>
      </c>
      <c r="E18" s="5">
        <v>1</v>
      </c>
      <c r="F18" s="5">
        <v>7</v>
      </c>
      <c r="G18" s="5">
        <v>0</v>
      </c>
      <c r="H18" s="5">
        <v>0</v>
      </c>
      <c r="I18" s="6">
        <f t="shared" si="2"/>
        <v>33</v>
      </c>
    </row>
    <row r="19" spans="1:11" x14ac:dyDescent="0.25">
      <c r="A19" s="5" t="s">
        <v>50</v>
      </c>
      <c r="B19" s="5">
        <v>8</v>
      </c>
      <c r="C19" s="5">
        <v>3</v>
      </c>
      <c r="D19" s="5">
        <v>14</v>
      </c>
      <c r="E19" s="5">
        <v>5</v>
      </c>
      <c r="F19" s="5">
        <v>8</v>
      </c>
      <c r="G19" s="5">
        <v>0</v>
      </c>
      <c r="H19" s="5">
        <v>0</v>
      </c>
      <c r="I19" s="6">
        <f t="shared" si="2"/>
        <v>38</v>
      </c>
    </row>
    <row r="20" spans="1:11" x14ac:dyDescent="0.25">
      <c r="A20" s="5" t="s">
        <v>51</v>
      </c>
      <c r="B20" s="5">
        <v>3</v>
      </c>
      <c r="C20" s="5">
        <v>3</v>
      </c>
      <c r="D20" s="5">
        <v>3</v>
      </c>
      <c r="E20" s="5">
        <v>2</v>
      </c>
      <c r="F20" s="5">
        <v>1</v>
      </c>
      <c r="G20" s="5">
        <v>2</v>
      </c>
      <c r="H20" s="5">
        <v>0</v>
      </c>
      <c r="I20" s="6">
        <f t="shared" si="2"/>
        <v>14</v>
      </c>
    </row>
    <row r="21" spans="1:11" x14ac:dyDescent="0.25">
      <c r="A21" s="5" t="s">
        <v>37</v>
      </c>
      <c r="B21" s="5">
        <v>14</v>
      </c>
      <c r="C21" s="5">
        <v>6</v>
      </c>
      <c r="D21" s="5">
        <v>10</v>
      </c>
      <c r="E21" s="5">
        <v>11</v>
      </c>
      <c r="F21" s="5">
        <v>0</v>
      </c>
      <c r="G21" s="5">
        <v>0</v>
      </c>
      <c r="H21" s="5">
        <v>0</v>
      </c>
      <c r="I21" s="6">
        <f t="shared" si="2"/>
        <v>41</v>
      </c>
    </row>
    <row r="22" spans="1:11" x14ac:dyDescent="0.25">
      <c r="A22" s="7" t="s">
        <v>15</v>
      </c>
      <c r="B22" s="7">
        <f t="shared" ref="B22:G22" si="3">SUM(B16:B21)</f>
        <v>239</v>
      </c>
      <c r="C22" s="7">
        <f t="shared" si="3"/>
        <v>198</v>
      </c>
      <c r="D22" s="7">
        <f t="shared" si="3"/>
        <v>242</v>
      </c>
      <c r="E22" s="7">
        <f t="shared" si="3"/>
        <v>180</v>
      </c>
      <c r="F22" s="7">
        <f t="shared" si="3"/>
        <v>180</v>
      </c>
      <c r="G22" s="7">
        <f t="shared" si="3"/>
        <v>49</v>
      </c>
      <c r="H22" s="7">
        <f>SUM(H16:H21)</f>
        <v>20</v>
      </c>
      <c r="I22" s="6">
        <f>SUM(B22:H22)</f>
        <v>1108</v>
      </c>
      <c r="J22" s="1"/>
      <c r="K22" s="1"/>
    </row>
    <row r="23" spans="1:11" x14ac:dyDescent="0.25">
      <c r="A23" s="5" t="s">
        <v>56</v>
      </c>
      <c r="B23" s="5">
        <v>15</v>
      </c>
      <c r="C23" s="5">
        <v>0</v>
      </c>
      <c r="D23" s="5">
        <v>0</v>
      </c>
      <c r="E23" s="5">
        <v>0</v>
      </c>
      <c r="F23" s="5">
        <v>0</v>
      </c>
      <c r="G23" s="5">
        <v>4</v>
      </c>
      <c r="H23" s="5">
        <v>0</v>
      </c>
      <c r="I23" s="6">
        <f>SUM(B23:H23)</f>
        <v>19</v>
      </c>
    </row>
    <row r="24" spans="1:11" x14ac:dyDescent="0.25">
      <c r="A24" s="5" t="s">
        <v>57</v>
      </c>
      <c r="B24" s="5">
        <v>7</v>
      </c>
      <c r="C24" s="5">
        <v>0</v>
      </c>
      <c r="D24" s="5">
        <v>6</v>
      </c>
      <c r="E24" s="5">
        <v>0</v>
      </c>
      <c r="F24" s="5">
        <v>4</v>
      </c>
      <c r="G24" s="5">
        <v>0</v>
      </c>
      <c r="H24" s="5">
        <v>0</v>
      </c>
      <c r="I24" s="6">
        <f>SUM(B24:H24)</f>
        <v>17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45943</v>
      </c>
      <c r="C28" s="4">
        <v>45944</v>
      </c>
      <c r="D28" s="4">
        <v>45945</v>
      </c>
      <c r="E28" s="4">
        <v>45946</v>
      </c>
      <c r="F28" s="4">
        <v>45947</v>
      </c>
      <c r="G28" s="4">
        <v>45948</v>
      </c>
      <c r="H28" s="4">
        <v>45949</v>
      </c>
      <c r="I28" s="2" t="s">
        <v>8</v>
      </c>
    </row>
    <row r="29" spans="1:11" x14ac:dyDescent="0.25">
      <c r="A29" s="5" t="s">
        <v>9</v>
      </c>
      <c r="B29" s="5">
        <v>119</v>
      </c>
      <c r="C29" s="5">
        <v>128</v>
      </c>
      <c r="D29" s="5">
        <v>116</v>
      </c>
      <c r="E29" s="5">
        <v>118</v>
      </c>
      <c r="F29" s="5">
        <v>102</v>
      </c>
      <c r="G29" s="5">
        <v>50</v>
      </c>
      <c r="H29" s="5">
        <v>0</v>
      </c>
      <c r="I29" s="6">
        <f t="shared" ref="I29:I37" si="4">SUM(B29:H29)</f>
        <v>633</v>
      </c>
    </row>
    <row r="30" spans="1:11" x14ac:dyDescent="0.25">
      <c r="A30" s="5" t="s">
        <v>10</v>
      </c>
      <c r="B30" s="5">
        <v>74</v>
      </c>
      <c r="C30" s="5">
        <v>75</v>
      </c>
      <c r="D30" s="5">
        <v>62</v>
      </c>
      <c r="E30" s="5">
        <v>64</v>
      </c>
      <c r="F30" s="5">
        <v>59</v>
      </c>
      <c r="G30" s="5">
        <v>26</v>
      </c>
      <c r="H30" s="5">
        <v>16</v>
      </c>
      <c r="I30" s="6">
        <f t="shared" si="4"/>
        <v>376</v>
      </c>
    </row>
    <row r="31" spans="1:11" x14ac:dyDescent="0.25">
      <c r="A31" s="5" t="s">
        <v>11</v>
      </c>
      <c r="B31" s="5">
        <v>16</v>
      </c>
      <c r="C31" s="5">
        <v>14</v>
      </c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6">
        <f t="shared" si="4"/>
        <v>32</v>
      </c>
    </row>
    <row r="32" spans="1:11" x14ac:dyDescent="0.25">
      <c r="A32" s="5" t="s">
        <v>12</v>
      </c>
      <c r="B32" s="5">
        <v>10</v>
      </c>
      <c r="C32" s="5">
        <v>8</v>
      </c>
      <c r="D32" s="5">
        <v>5</v>
      </c>
      <c r="E32" s="5">
        <v>0</v>
      </c>
      <c r="F32" s="5">
        <v>8</v>
      </c>
      <c r="G32" s="5">
        <v>0</v>
      </c>
      <c r="H32" s="5">
        <v>0</v>
      </c>
      <c r="I32" s="6">
        <f t="shared" si="4"/>
        <v>31</v>
      </c>
    </row>
    <row r="33" spans="1:11" x14ac:dyDescent="0.25">
      <c r="A33" s="5" t="s">
        <v>51</v>
      </c>
      <c r="B33" s="5">
        <v>3</v>
      </c>
      <c r="C33" s="5">
        <v>2</v>
      </c>
      <c r="D33" s="5">
        <v>2</v>
      </c>
      <c r="E33" s="5">
        <v>3</v>
      </c>
      <c r="F33" s="5">
        <v>2</v>
      </c>
      <c r="G33" s="5">
        <v>2</v>
      </c>
      <c r="H33" s="5">
        <v>0</v>
      </c>
      <c r="I33" s="6">
        <f t="shared" si="4"/>
        <v>14</v>
      </c>
    </row>
    <row r="34" spans="1:11" x14ac:dyDescent="0.25">
      <c r="A34" s="5" t="s">
        <v>40</v>
      </c>
      <c r="B34" s="5">
        <v>12</v>
      </c>
      <c r="C34" s="5">
        <v>15</v>
      </c>
      <c r="D34" s="5">
        <v>12</v>
      </c>
      <c r="E34" s="5">
        <v>15</v>
      </c>
      <c r="F34" s="5">
        <v>0</v>
      </c>
      <c r="G34" s="5">
        <v>0</v>
      </c>
      <c r="H34" s="5">
        <v>0</v>
      </c>
      <c r="I34" s="6">
        <f t="shared" si="4"/>
        <v>54</v>
      </c>
    </row>
    <row r="35" spans="1:11" x14ac:dyDescent="0.25">
      <c r="A35" s="7" t="s">
        <v>15</v>
      </c>
      <c r="B35" s="7">
        <f t="shared" ref="B35:H35" si="5">SUM(B29:B34)</f>
        <v>234</v>
      </c>
      <c r="C35" s="7">
        <f t="shared" si="5"/>
        <v>242</v>
      </c>
      <c r="D35" s="7">
        <f t="shared" si="5"/>
        <v>197</v>
      </c>
      <c r="E35" s="7">
        <f t="shared" si="5"/>
        <v>202</v>
      </c>
      <c r="F35" s="7">
        <f t="shared" si="5"/>
        <v>171</v>
      </c>
      <c r="G35" s="7">
        <f t="shared" si="5"/>
        <v>78</v>
      </c>
      <c r="H35" s="7">
        <f t="shared" si="5"/>
        <v>16</v>
      </c>
      <c r="I35" s="6">
        <f t="shared" si="4"/>
        <v>1140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45950</v>
      </c>
      <c r="C41" s="4">
        <v>45951</v>
      </c>
      <c r="D41" s="4">
        <v>45952</v>
      </c>
      <c r="E41" s="4">
        <v>45953</v>
      </c>
      <c r="F41" s="4">
        <v>45954</v>
      </c>
      <c r="G41" s="4">
        <v>45955</v>
      </c>
      <c r="H41" s="4">
        <v>45956</v>
      </c>
      <c r="I41" s="2" t="s">
        <v>8</v>
      </c>
    </row>
    <row r="42" spans="1:11" x14ac:dyDescent="0.25">
      <c r="A42" s="5" t="s">
        <v>9</v>
      </c>
      <c r="B42" s="5">
        <v>121</v>
      </c>
      <c r="C42" s="5">
        <v>119</v>
      </c>
      <c r="D42" s="5">
        <v>134</v>
      </c>
      <c r="E42" s="5">
        <v>108</v>
      </c>
      <c r="F42" s="5">
        <v>95</v>
      </c>
      <c r="G42" s="5">
        <v>36</v>
      </c>
      <c r="H42" s="5">
        <v>0</v>
      </c>
      <c r="I42" s="6">
        <f t="shared" ref="I42:I50" si="6">SUM(B42:H42)</f>
        <v>613</v>
      </c>
    </row>
    <row r="43" spans="1:11" x14ac:dyDescent="0.25">
      <c r="A43" s="5" t="s">
        <v>10</v>
      </c>
      <c r="B43" s="5">
        <v>68</v>
      </c>
      <c r="C43" s="5">
        <v>56</v>
      </c>
      <c r="D43" s="5">
        <v>85</v>
      </c>
      <c r="E43" s="5">
        <v>57</v>
      </c>
      <c r="F43" s="5">
        <v>62</v>
      </c>
      <c r="G43" s="5">
        <v>15</v>
      </c>
      <c r="H43" s="5">
        <v>17</v>
      </c>
      <c r="I43" s="6">
        <f t="shared" si="6"/>
        <v>360</v>
      </c>
    </row>
    <row r="44" spans="1:11" x14ac:dyDescent="0.25">
      <c r="A44" s="5" t="s">
        <v>11</v>
      </c>
      <c r="B44" s="5">
        <v>23</v>
      </c>
      <c r="C44" s="5">
        <v>11</v>
      </c>
      <c r="D44" s="5">
        <v>12</v>
      </c>
      <c r="E44" s="5">
        <v>0</v>
      </c>
      <c r="F44" s="5">
        <v>11</v>
      </c>
      <c r="G44" s="5">
        <v>0</v>
      </c>
      <c r="H44" s="5">
        <v>0</v>
      </c>
      <c r="I44" s="6">
        <f t="shared" si="6"/>
        <v>57</v>
      </c>
    </row>
    <row r="45" spans="1:11" x14ac:dyDescent="0.25">
      <c r="A45" s="5" t="s">
        <v>12</v>
      </c>
      <c r="B45" s="5">
        <v>4</v>
      </c>
      <c r="C45" s="5">
        <v>4</v>
      </c>
      <c r="D45" s="5">
        <v>5</v>
      </c>
      <c r="E45" s="5">
        <v>0</v>
      </c>
      <c r="F45" s="5">
        <v>5</v>
      </c>
      <c r="G45" s="5">
        <v>0</v>
      </c>
      <c r="H45" s="5">
        <v>0</v>
      </c>
      <c r="I45" s="6">
        <f t="shared" si="6"/>
        <v>18</v>
      </c>
    </row>
    <row r="46" spans="1:11" x14ac:dyDescent="0.25">
      <c r="A46" s="5" t="s">
        <v>59</v>
      </c>
      <c r="B46" s="5">
        <v>2</v>
      </c>
      <c r="C46" s="5">
        <v>4</v>
      </c>
      <c r="D46" s="5">
        <v>2</v>
      </c>
      <c r="E46" s="5">
        <v>0</v>
      </c>
      <c r="F46" s="5">
        <v>3</v>
      </c>
      <c r="G46" s="5">
        <v>1</v>
      </c>
      <c r="H46" s="5">
        <v>0</v>
      </c>
      <c r="I46" s="6">
        <f t="shared" si="6"/>
        <v>12</v>
      </c>
    </row>
    <row r="47" spans="1:11" x14ac:dyDescent="0.25">
      <c r="A47" s="5" t="s">
        <v>37</v>
      </c>
      <c r="B47" s="5">
        <v>10</v>
      </c>
      <c r="C47" s="5">
        <v>10</v>
      </c>
      <c r="D47" s="5">
        <v>15</v>
      </c>
      <c r="E47" s="5">
        <v>15</v>
      </c>
      <c r="F47" s="5">
        <v>0</v>
      </c>
      <c r="G47" s="5">
        <v>0</v>
      </c>
      <c r="H47" s="5">
        <v>0</v>
      </c>
      <c r="I47" s="6">
        <f t="shared" si="6"/>
        <v>50</v>
      </c>
    </row>
    <row r="48" spans="1:11" x14ac:dyDescent="0.25">
      <c r="A48" s="7" t="s">
        <v>15</v>
      </c>
      <c r="B48" s="7">
        <f>SUM(B42:B47)</f>
        <v>228</v>
      </c>
      <c r="C48" s="7">
        <f t="shared" ref="C48:G48" si="7">SUM(C42:C47)</f>
        <v>204</v>
      </c>
      <c r="D48" s="7">
        <f t="shared" si="7"/>
        <v>253</v>
      </c>
      <c r="E48" s="7">
        <f t="shared" si="7"/>
        <v>180</v>
      </c>
      <c r="F48" s="7">
        <f t="shared" si="7"/>
        <v>176</v>
      </c>
      <c r="G48" s="7">
        <f t="shared" si="7"/>
        <v>52</v>
      </c>
      <c r="H48" s="7">
        <f>SUM(H42:H47)</f>
        <v>17</v>
      </c>
      <c r="I48" s="6">
        <f t="shared" si="6"/>
        <v>1110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45957</v>
      </c>
      <c r="C53" s="4">
        <v>45958</v>
      </c>
      <c r="D53" s="4">
        <v>45959</v>
      </c>
      <c r="E53" s="4">
        <v>45960</v>
      </c>
      <c r="F53" s="4">
        <v>45961</v>
      </c>
      <c r="G53" s="4">
        <v>45962</v>
      </c>
      <c r="H53" s="4">
        <v>45963</v>
      </c>
      <c r="I53" s="2" t="s">
        <v>8</v>
      </c>
    </row>
    <row r="54" spans="1:11" x14ac:dyDescent="0.25">
      <c r="A54" s="5" t="s">
        <v>9</v>
      </c>
      <c r="B54" s="5">
        <v>124</v>
      </c>
      <c r="C54" s="5">
        <v>115</v>
      </c>
      <c r="D54" s="5">
        <v>132</v>
      </c>
      <c r="E54" s="5">
        <v>103</v>
      </c>
      <c r="F54" s="5">
        <v>122</v>
      </c>
      <c r="G54" s="5">
        <v>50</v>
      </c>
      <c r="H54" s="5">
        <v>0</v>
      </c>
      <c r="I54" s="6">
        <f t="shared" ref="I54:I62" si="8">SUM(B54:H54)</f>
        <v>646</v>
      </c>
    </row>
    <row r="55" spans="1:11" x14ac:dyDescent="0.25">
      <c r="A55" s="5" t="s">
        <v>10</v>
      </c>
      <c r="B55" s="5">
        <v>56</v>
      </c>
      <c r="C55" s="5">
        <v>53</v>
      </c>
      <c r="D55" s="5">
        <v>68</v>
      </c>
      <c r="E55" s="5">
        <v>39</v>
      </c>
      <c r="F55" s="5">
        <v>70</v>
      </c>
      <c r="G55" s="5">
        <v>25</v>
      </c>
      <c r="H55" s="5">
        <v>20</v>
      </c>
      <c r="I55" s="6">
        <f t="shared" si="8"/>
        <v>331</v>
      </c>
    </row>
    <row r="56" spans="1:11" x14ac:dyDescent="0.25">
      <c r="A56" s="5" t="s">
        <v>11</v>
      </c>
      <c r="B56" s="5">
        <v>15</v>
      </c>
      <c r="C56" s="5">
        <v>12</v>
      </c>
      <c r="D56" s="5">
        <v>9</v>
      </c>
      <c r="E56" s="5">
        <v>1</v>
      </c>
      <c r="F56" s="5">
        <v>1</v>
      </c>
      <c r="G56" s="5">
        <v>0</v>
      </c>
      <c r="H56" s="5">
        <v>0</v>
      </c>
      <c r="I56" s="6">
        <f t="shared" si="8"/>
        <v>38</v>
      </c>
    </row>
    <row r="57" spans="1:11" x14ac:dyDescent="0.25">
      <c r="A57" s="5" t="s">
        <v>12</v>
      </c>
      <c r="B57" s="5">
        <v>3</v>
      </c>
      <c r="C57" s="5">
        <v>3</v>
      </c>
      <c r="D57" s="5">
        <v>4</v>
      </c>
      <c r="E57" s="5">
        <v>0</v>
      </c>
      <c r="F57" s="5">
        <v>6</v>
      </c>
      <c r="G57" s="5">
        <v>0</v>
      </c>
      <c r="H57" s="5">
        <v>0</v>
      </c>
      <c r="I57" s="6">
        <f t="shared" si="8"/>
        <v>16</v>
      </c>
    </row>
    <row r="58" spans="1:11" x14ac:dyDescent="0.25">
      <c r="A58" s="5" t="s">
        <v>61</v>
      </c>
      <c r="B58" s="5">
        <v>4</v>
      </c>
      <c r="C58" s="5">
        <v>3</v>
      </c>
      <c r="D58" s="5">
        <v>1</v>
      </c>
      <c r="E58" s="5">
        <v>4</v>
      </c>
      <c r="F58" s="5">
        <v>3</v>
      </c>
      <c r="G58" s="5">
        <v>2</v>
      </c>
      <c r="H58" s="5">
        <v>0</v>
      </c>
      <c r="I58" s="6">
        <f t="shared" si="8"/>
        <v>17</v>
      </c>
    </row>
    <row r="59" spans="1:11" x14ac:dyDescent="0.25">
      <c r="A59" s="5" t="s">
        <v>37</v>
      </c>
      <c r="B59" s="5">
        <v>11</v>
      </c>
      <c r="C59" s="5">
        <v>7</v>
      </c>
      <c r="D59" s="5">
        <v>10</v>
      </c>
      <c r="E59" s="5">
        <v>16</v>
      </c>
      <c r="F59" s="5">
        <v>0</v>
      </c>
      <c r="G59" s="5">
        <v>0</v>
      </c>
      <c r="H59" s="5">
        <v>0</v>
      </c>
      <c r="I59" s="6">
        <f t="shared" si="8"/>
        <v>44</v>
      </c>
    </row>
    <row r="60" spans="1:11" x14ac:dyDescent="0.25">
      <c r="A60" s="7" t="s">
        <v>15</v>
      </c>
      <c r="B60" s="7">
        <f t="shared" ref="B60:H60" si="9">SUM(B54:B59)</f>
        <v>213</v>
      </c>
      <c r="C60" s="7">
        <f t="shared" si="9"/>
        <v>193</v>
      </c>
      <c r="D60" s="7">
        <f t="shared" si="9"/>
        <v>224</v>
      </c>
      <c r="E60" s="7">
        <f t="shared" si="9"/>
        <v>163</v>
      </c>
      <c r="F60" s="7">
        <f t="shared" si="9"/>
        <v>202</v>
      </c>
      <c r="G60" s="7">
        <f t="shared" si="9"/>
        <v>77</v>
      </c>
      <c r="H60" s="7">
        <f t="shared" si="9"/>
        <v>20</v>
      </c>
      <c r="I60" s="6">
        <f t="shared" si="8"/>
        <v>1092</v>
      </c>
      <c r="J60" s="1"/>
      <c r="K60" s="1"/>
    </row>
    <row r="61" spans="1:11" x14ac:dyDescent="0.25">
      <c r="A61" s="5" t="s">
        <v>62</v>
      </c>
      <c r="B61" s="5">
        <v>13</v>
      </c>
      <c r="C61" s="5">
        <v>0</v>
      </c>
      <c r="D61" s="5">
        <v>0</v>
      </c>
      <c r="E61" s="5">
        <v>0</v>
      </c>
      <c r="F61" s="5">
        <v>0</v>
      </c>
      <c r="G61" s="5">
        <v>7</v>
      </c>
      <c r="H61" s="5">
        <v>0</v>
      </c>
      <c r="I61" s="6">
        <f t="shared" si="8"/>
        <v>20</v>
      </c>
      <c r="K61">
        <f>I60+I48+I35+I22+I9</f>
        <v>5542</v>
      </c>
    </row>
    <row r="62" spans="1:11" x14ac:dyDescent="0.25">
      <c r="A62" s="5" t="s">
        <v>44</v>
      </c>
      <c r="B62" s="5">
        <v>5</v>
      </c>
      <c r="C62" s="5">
        <v>0</v>
      </c>
      <c r="D62" s="5">
        <v>7</v>
      </c>
      <c r="E62" s="5">
        <v>0</v>
      </c>
      <c r="F62" s="5">
        <v>4</v>
      </c>
      <c r="G62" s="5">
        <v>0</v>
      </c>
      <c r="H62" s="5">
        <v>0</v>
      </c>
      <c r="I62" s="6">
        <f t="shared" si="8"/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5"/>
  <sheetViews>
    <sheetView topLeftCell="A35" workbookViewId="0">
      <selection activeCell="B44" sqref="B44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45929</v>
      </c>
      <c r="C2" s="4">
        <v>45930</v>
      </c>
      <c r="D2" s="4">
        <v>45931</v>
      </c>
      <c r="E2" s="4">
        <v>45932</v>
      </c>
      <c r="F2" s="4">
        <v>45933</v>
      </c>
      <c r="G2" s="4">
        <v>45934</v>
      </c>
      <c r="H2" s="3" t="s">
        <v>19</v>
      </c>
    </row>
    <row r="3" spans="1:8" x14ac:dyDescent="0.25">
      <c r="A3" s="5" t="s">
        <v>20</v>
      </c>
      <c r="B3" s="5">
        <v>18</v>
      </c>
      <c r="C3" s="5">
        <v>18</v>
      </c>
      <c r="D3" s="5">
        <v>23</v>
      </c>
      <c r="E3" s="5">
        <v>20</v>
      </c>
      <c r="F3" s="5">
        <v>16</v>
      </c>
      <c r="G3" s="5">
        <v>0</v>
      </c>
      <c r="H3" s="6">
        <f t="shared" ref="H3:H9" si="0">SUM(B3:G3)</f>
        <v>95</v>
      </c>
    </row>
    <row r="4" spans="1:8" x14ac:dyDescent="0.25">
      <c r="A4" s="5" t="s">
        <v>21</v>
      </c>
      <c r="B4" s="5">
        <v>29</v>
      </c>
      <c r="C4" s="5">
        <v>25</v>
      </c>
      <c r="D4" s="5">
        <v>27</v>
      </c>
      <c r="E4" s="5">
        <v>18</v>
      </c>
      <c r="F4" s="5">
        <v>27</v>
      </c>
      <c r="G4" s="5">
        <v>0</v>
      </c>
      <c r="H4" s="6">
        <f t="shared" si="0"/>
        <v>126</v>
      </c>
    </row>
    <row r="5" spans="1:8" x14ac:dyDescent="0.25">
      <c r="A5" s="5" t="s">
        <v>38</v>
      </c>
      <c r="B5" s="5">
        <v>16</v>
      </c>
      <c r="C5" s="5">
        <v>14</v>
      </c>
      <c r="D5" s="5">
        <v>10</v>
      </c>
      <c r="E5" s="5">
        <v>11</v>
      </c>
      <c r="F5" s="5">
        <v>9</v>
      </c>
      <c r="G5" s="5">
        <v>20</v>
      </c>
      <c r="H5" s="6">
        <f t="shared" si="0"/>
        <v>80</v>
      </c>
    </row>
    <row r="6" spans="1:8" x14ac:dyDescent="0.25">
      <c r="A6" s="5" t="s">
        <v>23</v>
      </c>
      <c r="B6" s="5">
        <v>35</v>
      </c>
      <c r="C6" s="5">
        <v>54</v>
      </c>
      <c r="D6" s="5">
        <v>60</v>
      </c>
      <c r="E6" s="5">
        <v>60</v>
      </c>
      <c r="F6" s="5">
        <v>45</v>
      </c>
      <c r="G6" s="5">
        <v>29</v>
      </c>
      <c r="H6" s="6">
        <f t="shared" si="0"/>
        <v>283</v>
      </c>
    </row>
    <row r="7" spans="1:8" x14ac:dyDescent="0.25">
      <c r="A7" s="7" t="s">
        <v>15</v>
      </c>
      <c r="B7" s="7">
        <f t="shared" ref="B7:G7" si="1">SUM(B3:B6)</f>
        <v>98</v>
      </c>
      <c r="C7" s="7">
        <f t="shared" si="1"/>
        <v>111</v>
      </c>
      <c r="D7" s="7">
        <f t="shared" si="1"/>
        <v>120</v>
      </c>
      <c r="E7" s="7">
        <f t="shared" si="1"/>
        <v>109</v>
      </c>
      <c r="F7" s="7">
        <f t="shared" si="1"/>
        <v>97</v>
      </c>
      <c r="G7" s="7">
        <f t="shared" si="1"/>
        <v>49</v>
      </c>
      <c r="H7" s="6">
        <f t="shared" si="0"/>
        <v>584</v>
      </c>
    </row>
    <row r="8" spans="1:8" x14ac:dyDescent="0.25">
      <c r="A8" s="5" t="s">
        <v>53</v>
      </c>
      <c r="B8" s="5">
        <v>15</v>
      </c>
      <c r="C8" s="5"/>
      <c r="D8" s="5"/>
      <c r="E8" s="5"/>
      <c r="F8" s="5"/>
      <c r="G8" s="5"/>
      <c r="H8" s="6">
        <f t="shared" si="0"/>
        <v>15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45936</v>
      </c>
      <c r="C11" s="4">
        <v>45937</v>
      </c>
      <c r="D11" s="4">
        <v>45938</v>
      </c>
      <c r="E11" s="4">
        <v>45939</v>
      </c>
      <c r="F11" s="4">
        <v>45940</v>
      </c>
      <c r="G11" s="4">
        <v>45941</v>
      </c>
      <c r="H11" s="3" t="s">
        <v>19</v>
      </c>
    </row>
    <row r="12" spans="1:8" x14ac:dyDescent="0.25">
      <c r="A12" s="5" t="s">
        <v>20</v>
      </c>
      <c r="B12" s="5">
        <v>27</v>
      </c>
      <c r="C12" s="5">
        <v>19</v>
      </c>
      <c r="D12" s="5">
        <v>26</v>
      </c>
      <c r="E12" s="5">
        <v>23</v>
      </c>
      <c r="F12" s="5">
        <v>17</v>
      </c>
      <c r="G12" s="5">
        <v>21</v>
      </c>
      <c r="H12" s="6">
        <f t="shared" ref="H12:H18" si="2">SUM(B12:G12)</f>
        <v>133</v>
      </c>
    </row>
    <row r="13" spans="1:8" x14ac:dyDescent="0.25">
      <c r="A13" s="5" t="s">
        <v>21</v>
      </c>
      <c r="B13" s="5">
        <v>31</v>
      </c>
      <c r="C13" s="5">
        <v>36</v>
      </c>
      <c r="D13" s="5">
        <v>31</v>
      </c>
      <c r="E13" s="5">
        <v>22</v>
      </c>
      <c r="F13" s="5">
        <v>20</v>
      </c>
      <c r="G13" s="5">
        <v>3</v>
      </c>
      <c r="H13" s="6">
        <f t="shared" si="2"/>
        <v>143</v>
      </c>
    </row>
    <row r="14" spans="1:8" x14ac:dyDescent="0.25">
      <c r="A14" s="5" t="s">
        <v>38</v>
      </c>
      <c r="B14" s="5">
        <v>11</v>
      </c>
      <c r="C14" s="5">
        <v>10</v>
      </c>
      <c r="D14" s="5">
        <v>12</v>
      </c>
      <c r="E14" s="5">
        <v>12</v>
      </c>
      <c r="F14" s="5">
        <v>9</v>
      </c>
      <c r="G14" s="5">
        <v>0</v>
      </c>
      <c r="H14" s="6">
        <f t="shared" si="2"/>
        <v>54</v>
      </c>
    </row>
    <row r="15" spans="1:8" x14ac:dyDescent="0.25">
      <c r="A15" s="5" t="s">
        <v>23</v>
      </c>
      <c r="B15" s="5">
        <v>44</v>
      </c>
      <c r="C15" s="5">
        <v>52</v>
      </c>
      <c r="D15" s="5">
        <v>54</v>
      </c>
      <c r="E15" s="5">
        <v>52</v>
      </c>
      <c r="F15" s="5">
        <v>46</v>
      </c>
      <c r="G15" s="5">
        <v>28</v>
      </c>
      <c r="H15" s="6">
        <f t="shared" si="2"/>
        <v>276</v>
      </c>
    </row>
    <row r="16" spans="1:8" x14ac:dyDescent="0.25">
      <c r="A16" s="7" t="s">
        <v>15</v>
      </c>
      <c r="B16" s="7">
        <f t="shared" ref="B16:G16" si="3">SUM(B12:B15)</f>
        <v>113</v>
      </c>
      <c r="C16" s="7">
        <f t="shared" si="3"/>
        <v>117</v>
      </c>
      <c r="D16" s="7">
        <f t="shared" si="3"/>
        <v>123</v>
      </c>
      <c r="E16" s="7">
        <f>SUM(E12:E15)</f>
        <v>109</v>
      </c>
      <c r="F16" s="7">
        <f t="shared" si="3"/>
        <v>92</v>
      </c>
      <c r="G16" s="7">
        <f t="shared" si="3"/>
        <v>52</v>
      </c>
      <c r="H16" s="6">
        <f t="shared" si="2"/>
        <v>606</v>
      </c>
    </row>
    <row r="17" spans="1:8" x14ac:dyDescent="0.25">
      <c r="A17" s="5" t="s">
        <v>55</v>
      </c>
      <c r="B17" s="5">
        <v>15</v>
      </c>
      <c r="C17" s="5"/>
      <c r="D17" s="5"/>
      <c r="E17" s="5"/>
      <c r="F17" s="5"/>
      <c r="G17" s="8"/>
      <c r="H17" s="6">
        <f t="shared" si="2"/>
        <v>15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45943</v>
      </c>
      <c r="C20" s="4">
        <v>45944</v>
      </c>
      <c r="D20" s="4">
        <v>45945</v>
      </c>
      <c r="E20" s="4">
        <v>45946</v>
      </c>
      <c r="F20" s="4">
        <v>45947</v>
      </c>
      <c r="G20" s="4">
        <v>45948</v>
      </c>
      <c r="H20" s="3" t="s">
        <v>19</v>
      </c>
    </row>
    <row r="21" spans="1:8" x14ac:dyDescent="0.25">
      <c r="A21" s="5" t="s">
        <v>20</v>
      </c>
      <c r="B21" s="5">
        <v>21</v>
      </c>
      <c r="C21" s="5">
        <v>21</v>
      </c>
      <c r="D21" s="5">
        <v>17</v>
      </c>
      <c r="E21" s="5">
        <v>21</v>
      </c>
      <c r="F21" s="5">
        <v>27</v>
      </c>
      <c r="G21" s="5">
        <v>0</v>
      </c>
      <c r="H21" s="6">
        <f t="shared" ref="H21:H27" si="4">SUM(B21:G21)</f>
        <v>107</v>
      </c>
    </row>
    <row r="22" spans="1:8" x14ac:dyDescent="0.25">
      <c r="A22" s="5" t="s">
        <v>21</v>
      </c>
      <c r="B22" s="5">
        <v>27</v>
      </c>
      <c r="C22" s="5">
        <v>32</v>
      </c>
      <c r="D22" s="5">
        <v>28</v>
      </c>
      <c r="E22" s="5">
        <v>28</v>
      </c>
      <c r="F22" s="5">
        <v>25</v>
      </c>
      <c r="G22" s="5">
        <v>0</v>
      </c>
      <c r="H22" s="6">
        <f t="shared" si="4"/>
        <v>140</v>
      </c>
    </row>
    <row r="23" spans="1:8" x14ac:dyDescent="0.25">
      <c r="A23" s="5" t="s">
        <v>58</v>
      </c>
      <c r="B23" s="5">
        <v>12</v>
      </c>
      <c r="C23" s="5">
        <v>12</v>
      </c>
      <c r="D23" s="5">
        <v>15</v>
      </c>
      <c r="E23" s="5">
        <v>14</v>
      </c>
      <c r="F23" s="5">
        <v>8</v>
      </c>
      <c r="G23" s="5">
        <v>19</v>
      </c>
      <c r="H23" s="6">
        <f t="shared" si="4"/>
        <v>80</v>
      </c>
    </row>
    <row r="24" spans="1:8" x14ac:dyDescent="0.25">
      <c r="A24" s="5" t="s">
        <v>23</v>
      </c>
      <c r="B24" s="5">
        <v>40</v>
      </c>
      <c r="C24" s="5">
        <v>63</v>
      </c>
      <c r="D24" s="5">
        <v>50</v>
      </c>
      <c r="E24" s="5">
        <v>52</v>
      </c>
      <c r="F24" s="5">
        <v>42</v>
      </c>
      <c r="G24" s="5">
        <v>31</v>
      </c>
      <c r="H24" s="6">
        <f t="shared" si="4"/>
        <v>278</v>
      </c>
    </row>
    <row r="25" spans="1:8" x14ac:dyDescent="0.25">
      <c r="A25" s="7" t="s">
        <v>15</v>
      </c>
      <c r="B25" s="7">
        <f t="shared" ref="B25:G25" si="5">SUM(B21:B24)</f>
        <v>100</v>
      </c>
      <c r="C25" s="7">
        <f t="shared" si="5"/>
        <v>128</v>
      </c>
      <c r="D25" s="7">
        <f t="shared" si="5"/>
        <v>110</v>
      </c>
      <c r="E25" s="7">
        <f>SUM(E21:E24)</f>
        <v>115</v>
      </c>
      <c r="F25" s="7">
        <f t="shared" si="5"/>
        <v>102</v>
      </c>
      <c r="G25" s="7">
        <f t="shared" si="5"/>
        <v>50</v>
      </c>
      <c r="H25" s="6">
        <f t="shared" si="4"/>
        <v>605</v>
      </c>
    </row>
    <row r="26" spans="1:8" x14ac:dyDescent="0.25">
      <c r="A26" s="5" t="s">
        <v>53</v>
      </c>
      <c r="B26" s="5">
        <v>11</v>
      </c>
      <c r="C26" s="5"/>
      <c r="D26" s="5"/>
      <c r="E26" s="5"/>
      <c r="F26" s="5"/>
      <c r="G26" s="5"/>
      <c r="H26" s="6">
        <f t="shared" si="4"/>
        <v>11</v>
      </c>
    </row>
    <row r="27" spans="1:8" x14ac:dyDescent="0.25">
      <c r="A27" s="5" t="s">
        <v>44</v>
      </c>
      <c r="B27" s="5">
        <v>8</v>
      </c>
      <c r="C27" s="5">
        <v>0</v>
      </c>
      <c r="D27" s="5">
        <v>6</v>
      </c>
      <c r="E27" s="5">
        <v>3</v>
      </c>
      <c r="F27" s="5"/>
      <c r="G27" s="5"/>
      <c r="H27" s="6">
        <f t="shared" si="4"/>
        <v>17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45950</v>
      </c>
      <c r="C29" s="4">
        <v>45951</v>
      </c>
      <c r="D29" s="4">
        <v>45952</v>
      </c>
      <c r="E29" s="4">
        <v>45953</v>
      </c>
      <c r="F29" s="4">
        <v>45954</v>
      </c>
      <c r="G29" s="4">
        <v>45955</v>
      </c>
      <c r="H29" s="3" t="s">
        <v>19</v>
      </c>
    </row>
    <row r="30" spans="1:8" x14ac:dyDescent="0.25">
      <c r="A30" s="5" t="s">
        <v>20</v>
      </c>
      <c r="B30" s="5">
        <v>23</v>
      </c>
      <c r="C30" s="5">
        <v>21</v>
      </c>
      <c r="D30" s="5">
        <v>21</v>
      </c>
      <c r="E30" s="5">
        <v>18</v>
      </c>
      <c r="F30" s="5">
        <v>14</v>
      </c>
      <c r="G30" s="5">
        <v>0</v>
      </c>
      <c r="H30" s="6">
        <f>SUM(B30:G30)</f>
        <v>97</v>
      </c>
    </row>
    <row r="31" spans="1:8" x14ac:dyDescent="0.25">
      <c r="A31" s="5" t="s">
        <v>21</v>
      </c>
      <c r="B31" s="5">
        <v>25</v>
      </c>
      <c r="C31" s="5">
        <v>29</v>
      </c>
      <c r="D31" s="5">
        <v>32</v>
      </c>
      <c r="E31" s="5">
        <v>29</v>
      </c>
      <c r="F31" s="5">
        <v>18</v>
      </c>
      <c r="G31" s="5">
        <v>15</v>
      </c>
      <c r="H31" s="6">
        <f t="shared" ref="H31:H36" si="6">SUM(B31:G31)</f>
        <v>148</v>
      </c>
    </row>
    <row r="32" spans="1:8" x14ac:dyDescent="0.25">
      <c r="A32" s="5" t="s">
        <v>60</v>
      </c>
      <c r="B32" s="5">
        <v>9</v>
      </c>
      <c r="C32" s="5">
        <v>7</v>
      </c>
      <c r="D32" s="5">
        <v>10</v>
      </c>
      <c r="E32" s="5">
        <v>8</v>
      </c>
      <c r="F32" s="5">
        <v>9</v>
      </c>
      <c r="G32" s="5">
        <v>0</v>
      </c>
      <c r="H32" s="6">
        <f t="shared" si="6"/>
        <v>43</v>
      </c>
    </row>
    <row r="33" spans="1:8" x14ac:dyDescent="0.25">
      <c r="A33" s="5" t="s">
        <v>23</v>
      </c>
      <c r="B33" s="5">
        <v>49</v>
      </c>
      <c r="C33" s="5">
        <v>62</v>
      </c>
      <c r="D33" s="5">
        <v>64</v>
      </c>
      <c r="E33" s="5">
        <v>53</v>
      </c>
      <c r="F33" s="5">
        <v>52</v>
      </c>
      <c r="G33" s="5">
        <v>21</v>
      </c>
      <c r="H33" s="6">
        <f t="shared" si="6"/>
        <v>301</v>
      </c>
    </row>
    <row r="34" spans="1:8" x14ac:dyDescent="0.25">
      <c r="A34" s="7" t="s">
        <v>15</v>
      </c>
      <c r="B34" s="7">
        <f t="shared" ref="B34:G34" si="7">SUM(B30:B33)</f>
        <v>106</v>
      </c>
      <c r="C34" s="7">
        <f t="shared" si="7"/>
        <v>119</v>
      </c>
      <c r="D34" s="7">
        <f t="shared" si="7"/>
        <v>127</v>
      </c>
      <c r="E34" s="7">
        <f t="shared" si="7"/>
        <v>108</v>
      </c>
      <c r="F34" s="7">
        <f t="shared" si="7"/>
        <v>93</v>
      </c>
      <c r="G34" s="7">
        <f t="shared" si="7"/>
        <v>36</v>
      </c>
      <c r="H34" s="6">
        <f t="shared" si="6"/>
        <v>589</v>
      </c>
    </row>
    <row r="35" spans="1:8" x14ac:dyDescent="0.25">
      <c r="A35" s="5" t="s">
        <v>53</v>
      </c>
      <c r="B35" s="5">
        <v>11</v>
      </c>
      <c r="C35" s="5"/>
      <c r="D35" s="5"/>
      <c r="E35" s="5"/>
      <c r="F35" s="5"/>
      <c r="G35" s="5"/>
      <c r="H35" s="6">
        <f t="shared" si="6"/>
        <v>11</v>
      </c>
    </row>
    <row r="36" spans="1:8" x14ac:dyDescent="0.25">
      <c r="A36" s="5" t="s">
        <v>44</v>
      </c>
      <c r="B36" s="5">
        <v>4</v>
      </c>
      <c r="C36" s="5"/>
      <c r="D36" s="5">
        <v>7</v>
      </c>
      <c r="E36" s="5"/>
      <c r="F36" s="5">
        <v>2</v>
      </c>
      <c r="G36" s="5"/>
      <c r="H36" s="6">
        <f t="shared" si="6"/>
        <v>13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>
        <v>45957</v>
      </c>
      <c r="C38" s="4">
        <v>45958</v>
      </c>
      <c r="D38" s="4">
        <v>45959</v>
      </c>
      <c r="E38" s="4">
        <v>45960</v>
      </c>
      <c r="F38" s="4">
        <v>45961</v>
      </c>
      <c r="G38" s="4">
        <v>45962</v>
      </c>
      <c r="H38" s="3" t="s">
        <v>19</v>
      </c>
    </row>
    <row r="39" spans="1:8" x14ac:dyDescent="0.25">
      <c r="A39" s="5" t="s">
        <v>20</v>
      </c>
      <c r="B39" s="5">
        <v>22</v>
      </c>
      <c r="C39" s="5">
        <v>25</v>
      </c>
      <c r="D39" s="5">
        <v>16</v>
      </c>
      <c r="E39" s="5">
        <v>21</v>
      </c>
      <c r="F39" s="5">
        <v>17</v>
      </c>
      <c r="G39" s="5">
        <v>16</v>
      </c>
      <c r="H39" s="6">
        <f t="shared" ref="H39:H45" si="8">SUM(B39:G39)</f>
        <v>117</v>
      </c>
    </row>
    <row r="40" spans="1:8" x14ac:dyDescent="0.25">
      <c r="A40" s="5" t="s">
        <v>21</v>
      </c>
      <c r="B40" s="5">
        <v>31</v>
      </c>
      <c r="C40" s="5">
        <v>25</v>
      </c>
      <c r="D40" s="5">
        <v>30</v>
      </c>
      <c r="E40" s="5">
        <v>27</v>
      </c>
      <c r="F40" s="5">
        <v>22</v>
      </c>
      <c r="G40" s="5">
        <v>0</v>
      </c>
      <c r="H40" s="6">
        <f t="shared" si="8"/>
        <v>135</v>
      </c>
    </row>
    <row r="41" spans="1:8" x14ac:dyDescent="0.25">
      <c r="A41" s="5" t="s">
        <v>60</v>
      </c>
      <c r="B41" s="5">
        <v>12</v>
      </c>
      <c r="C41" s="5">
        <v>10</v>
      </c>
      <c r="D41" s="5">
        <v>13</v>
      </c>
      <c r="E41" s="5">
        <v>3</v>
      </c>
      <c r="F41" s="5">
        <v>10</v>
      </c>
      <c r="G41" s="5">
        <v>0</v>
      </c>
      <c r="H41" s="6">
        <f t="shared" si="8"/>
        <v>48</v>
      </c>
    </row>
    <row r="42" spans="1:8" x14ac:dyDescent="0.25">
      <c r="A42" s="5" t="s">
        <v>23</v>
      </c>
      <c r="B42" s="5">
        <v>41</v>
      </c>
      <c r="C42" s="5">
        <v>55</v>
      </c>
      <c r="D42" s="5">
        <v>66</v>
      </c>
      <c r="E42" s="5">
        <v>52</v>
      </c>
      <c r="F42" s="5">
        <v>69</v>
      </c>
      <c r="G42" s="5">
        <v>27</v>
      </c>
      <c r="H42" s="6">
        <f t="shared" si="8"/>
        <v>310</v>
      </c>
    </row>
    <row r="43" spans="1:8" x14ac:dyDescent="0.25">
      <c r="A43" s="7" t="s">
        <v>15</v>
      </c>
      <c r="B43" s="7">
        <f t="shared" ref="B43:G43" si="9">SUM(B39:B42)</f>
        <v>106</v>
      </c>
      <c r="C43" s="7">
        <f t="shared" si="9"/>
        <v>115</v>
      </c>
      <c r="D43" s="7">
        <f t="shared" si="9"/>
        <v>125</v>
      </c>
      <c r="E43" s="7">
        <f t="shared" si="9"/>
        <v>103</v>
      </c>
      <c r="F43" s="7">
        <f t="shared" si="9"/>
        <v>118</v>
      </c>
      <c r="G43" s="7">
        <f t="shared" si="9"/>
        <v>43</v>
      </c>
      <c r="H43" s="6">
        <f t="shared" si="8"/>
        <v>610</v>
      </c>
    </row>
    <row r="44" spans="1:8" x14ac:dyDescent="0.25">
      <c r="A44" s="5" t="s">
        <v>53</v>
      </c>
      <c r="B44" s="5">
        <v>13</v>
      </c>
      <c r="C44" s="5">
        <v>0</v>
      </c>
      <c r="D44" s="5">
        <v>0</v>
      </c>
      <c r="E44" s="5">
        <v>0</v>
      </c>
      <c r="F44" s="5">
        <v>0</v>
      </c>
      <c r="G44" s="5">
        <v>7</v>
      </c>
      <c r="H44" s="6">
        <f t="shared" si="8"/>
        <v>20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CFF5-1210-4CB6-9621-AE4545D26452}">
  <sheetPr>
    <pageSetUpPr fitToPage="1"/>
  </sheetPr>
  <dimension ref="A1:K62"/>
  <sheetViews>
    <sheetView topLeftCell="A34" workbookViewId="0">
      <selection activeCell="H31" sqref="H31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45964</v>
      </c>
      <c r="C2" s="4">
        <v>45965</v>
      </c>
      <c r="D2" s="4">
        <v>45966</v>
      </c>
      <c r="E2" s="4">
        <v>45967</v>
      </c>
      <c r="F2" s="4">
        <v>45968</v>
      </c>
      <c r="G2" s="4">
        <v>45969</v>
      </c>
      <c r="H2" s="4">
        <v>45970</v>
      </c>
      <c r="I2" s="2" t="s">
        <v>8</v>
      </c>
    </row>
    <row r="3" spans="1:11" x14ac:dyDescent="0.25">
      <c r="A3" s="5" t="s">
        <v>9</v>
      </c>
      <c r="B3" s="5">
        <v>109</v>
      </c>
      <c r="C3" s="5">
        <v>109</v>
      </c>
      <c r="D3" s="5">
        <v>134</v>
      </c>
      <c r="E3" s="5">
        <v>90</v>
      </c>
      <c r="F3" s="5">
        <v>115</v>
      </c>
      <c r="G3" s="5">
        <v>52</v>
      </c>
      <c r="H3" s="5">
        <v>0</v>
      </c>
      <c r="I3" s="6">
        <f t="shared" ref="I3:I11" si="0">SUM(B3:H3)</f>
        <v>609</v>
      </c>
    </row>
    <row r="4" spans="1:11" x14ac:dyDescent="0.25">
      <c r="A4" s="5" t="s">
        <v>10</v>
      </c>
      <c r="B4" s="5">
        <v>68</v>
      </c>
      <c r="C4" s="5">
        <v>67</v>
      </c>
      <c r="D4" s="5">
        <v>79</v>
      </c>
      <c r="E4" s="5">
        <v>56</v>
      </c>
      <c r="F4" s="5">
        <v>74</v>
      </c>
      <c r="G4" s="5">
        <v>20</v>
      </c>
      <c r="H4" s="5">
        <v>17</v>
      </c>
      <c r="I4" s="6">
        <f t="shared" si="0"/>
        <v>381</v>
      </c>
    </row>
    <row r="5" spans="1:11" x14ac:dyDescent="0.25">
      <c r="A5" s="5" t="s">
        <v>11</v>
      </c>
      <c r="B5" s="5">
        <v>12</v>
      </c>
      <c r="C5" s="5">
        <v>10</v>
      </c>
      <c r="D5" s="5">
        <v>12</v>
      </c>
      <c r="E5" s="5">
        <v>0</v>
      </c>
      <c r="F5" s="5">
        <v>8</v>
      </c>
      <c r="G5" s="5">
        <v>0</v>
      </c>
      <c r="H5" s="5">
        <v>0</v>
      </c>
      <c r="I5" s="6">
        <f t="shared" si="0"/>
        <v>42</v>
      </c>
    </row>
    <row r="6" spans="1:11" x14ac:dyDescent="0.25">
      <c r="A6" s="5" t="s">
        <v>12</v>
      </c>
      <c r="B6" s="5">
        <v>1</v>
      </c>
      <c r="C6" s="5">
        <v>4</v>
      </c>
      <c r="D6" s="5">
        <v>5</v>
      </c>
      <c r="E6" s="5">
        <v>0</v>
      </c>
      <c r="F6" s="5">
        <v>5</v>
      </c>
      <c r="G6" s="5">
        <v>0</v>
      </c>
      <c r="H6" s="5">
        <v>0</v>
      </c>
      <c r="I6" s="6">
        <f t="shared" si="0"/>
        <v>15</v>
      </c>
    </row>
    <row r="7" spans="1:11" x14ac:dyDescent="0.25">
      <c r="A7" s="5" t="s">
        <v>51</v>
      </c>
      <c r="B7" s="5">
        <v>3</v>
      </c>
      <c r="C7" s="5">
        <v>3</v>
      </c>
      <c r="D7" s="5">
        <v>2</v>
      </c>
      <c r="E7" s="5">
        <v>3</v>
      </c>
      <c r="F7" s="5">
        <v>5</v>
      </c>
      <c r="G7" s="5">
        <v>2</v>
      </c>
      <c r="H7" s="5">
        <v>0</v>
      </c>
      <c r="I7" s="6">
        <f t="shared" si="0"/>
        <v>18</v>
      </c>
    </row>
    <row r="8" spans="1:11" x14ac:dyDescent="0.25">
      <c r="A8" s="5" t="s">
        <v>37</v>
      </c>
      <c r="B8" s="5">
        <v>14</v>
      </c>
      <c r="C8" s="5">
        <v>14</v>
      </c>
      <c r="D8" s="5">
        <v>22</v>
      </c>
      <c r="E8" s="5">
        <v>13</v>
      </c>
      <c r="F8" s="5">
        <v>0</v>
      </c>
      <c r="G8" s="5">
        <v>0</v>
      </c>
      <c r="H8" s="5">
        <v>0</v>
      </c>
      <c r="I8" s="6">
        <f t="shared" si="0"/>
        <v>63</v>
      </c>
    </row>
    <row r="9" spans="1:11" x14ac:dyDescent="0.25">
      <c r="A9" s="7" t="s">
        <v>15</v>
      </c>
      <c r="B9" s="7">
        <f t="shared" ref="B9:H9" si="1">SUM(B3:B8)</f>
        <v>207</v>
      </c>
      <c r="C9" s="7">
        <f t="shared" si="1"/>
        <v>207</v>
      </c>
      <c r="D9" s="7">
        <f t="shared" si="1"/>
        <v>254</v>
      </c>
      <c r="E9" s="7">
        <f t="shared" si="1"/>
        <v>162</v>
      </c>
      <c r="F9" s="7">
        <f t="shared" si="1"/>
        <v>207</v>
      </c>
      <c r="G9" s="7">
        <f t="shared" si="1"/>
        <v>74</v>
      </c>
      <c r="H9" s="7">
        <f t="shared" si="1"/>
        <v>17</v>
      </c>
      <c r="I9" s="6">
        <f t="shared" si="0"/>
        <v>1128</v>
      </c>
      <c r="J9" s="1"/>
      <c r="K9" s="1"/>
    </row>
    <row r="10" spans="1:11" x14ac:dyDescent="0.25">
      <c r="A10" s="5" t="s">
        <v>44</v>
      </c>
      <c r="B10" s="5">
        <v>1</v>
      </c>
      <c r="C10" s="5">
        <v>0</v>
      </c>
      <c r="D10" s="5">
        <v>5</v>
      </c>
      <c r="E10" s="5">
        <v>0</v>
      </c>
      <c r="F10" s="5">
        <v>6</v>
      </c>
      <c r="G10" s="5">
        <v>0</v>
      </c>
      <c r="H10" s="5">
        <v>0</v>
      </c>
      <c r="I10" s="6">
        <f t="shared" si="0"/>
        <v>12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45971</v>
      </c>
      <c r="C15" s="4">
        <v>45972</v>
      </c>
      <c r="D15" s="4">
        <v>45973</v>
      </c>
      <c r="E15" s="4">
        <v>45974</v>
      </c>
      <c r="F15" s="4">
        <v>45975</v>
      </c>
      <c r="G15" s="4">
        <v>45976</v>
      </c>
      <c r="H15" s="4">
        <v>45977</v>
      </c>
      <c r="I15" s="2" t="s">
        <v>8</v>
      </c>
    </row>
    <row r="16" spans="1:11" x14ac:dyDescent="0.25">
      <c r="A16" s="5" t="s">
        <v>9</v>
      </c>
      <c r="B16" s="5">
        <v>129</v>
      </c>
      <c r="C16" s="5">
        <v>122</v>
      </c>
      <c r="D16" s="5">
        <v>118</v>
      </c>
      <c r="E16" s="5">
        <v>110</v>
      </c>
      <c r="F16" s="5">
        <v>114</v>
      </c>
      <c r="G16" s="5">
        <v>48</v>
      </c>
      <c r="H16" s="5">
        <v>0</v>
      </c>
      <c r="I16" s="6">
        <f>SUM(B16:H16)</f>
        <v>641</v>
      </c>
    </row>
    <row r="17" spans="1:11" x14ac:dyDescent="0.25">
      <c r="A17" s="5" t="s">
        <v>10</v>
      </c>
      <c r="B17" s="5">
        <v>68</v>
      </c>
      <c r="C17" s="5">
        <v>58</v>
      </c>
      <c r="D17" s="5">
        <v>65</v>
      </c>
      <c r="E17" s="5">
        <v>46</v>
      </c>
      <c r="F17" s="5">
        <v>74</v>
      </c>
      <c r="G17" s="5">
        <v>25</v>
      </c>
      <c r="H17" s="5">
        <v>8</v>
      </c>
      <c r="I17" s="6">
        <f t="shared" ref="I17:I21" si="2">SUM(B17:H17)</f>
        <v>344</v>
      </c>
    </row>
    <row r="18" spans="1:11" x14ac:dyDescent="0.25">
      <c r="A18" s="5" t="s">
        <v>11</v>
      </c>
      <c r="B18" s="5">
        <v>1</v>
      </c>
      <c r="C18" s="5">
        <v>16</v>
      </c>
      <c r="D18" s="5">
        <v>8</v>
      </c>
      <c r="E18" s="5">
        <v>2</v>
      </c>
      <c r="F18" s="5">
        <v>13</v>
      </c>
      <c r="G18" s="5">
        <v>0</v>
      </c>
      <c r="H18" s="5">
        <v>0</v>
      </c>
      <c r="I18" s="6">
        <f t="shared" si="2"/>
        <v>40</v>
      </c>
    </row>
    <row r="19" spans="1:11" x14ac:dyDescent="0.25">
      <c r="A19" s="5" t="s">
        <v>12</v>
      </c>
      <c r="B19" s="5">
        <v>2</v>
      </c>
      <c r="C19" s="5">
        <v>5</v>
      </c>
      <c r="D19" s="5">
        <v>6</v>
      </c>
      <c r="E19" s="5">
        <v>0</v>
      </c>
      <c r="F19" s="5">
        <v>10</v>
      </c>
      <c r="G19" s="5">
        <v>0</v>
      </c>
      <c r="H19" s="5">
        <v>0</v>
      </c>
      <c r="I19" s="6">
        <f t="shared" si="2"/>
        <v>23</v>
      </c>
    </row>
    <row r="20" spans="1:11" x14ac:dyDescent="0.25">
      <c r="A20" s="5" t="s">
        <v>61</v>
      </c>
      <c r="B20" s="5">
        <v>7</v>
      </c>
      <c r="C20" s="5">
        <v>3</v>
      </c>
      <c r="D20" s="5">
        <v>4</v>
      </c>
      <c r="E20" s="5">
        <v>3</v>
      </c>
      <c r="F20" s="5">
        <v>5</v>
      </c>
      <c r="G20" s="5">
        <v>2</v>
      </c>
      <c r="H20" s="5">
        <v>0</v>
      </c>
      <c r="I20" s="6">
        <f t="shared" si="2"/>
        <v>24</v>
      </c>
    </row>
    <row r="21" spans="1:11" x14ac:dyDescent="0.25">
      <c r="A21" s="5" t="s">
        <v>37</v>
      </c>
      <c r="B21" s="5">
        <v>18</v>
      </c>
      <c r="C21" s="5">
        <v>20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38</v>
      </c>
    </row>
    <row r="22" spans="1:11" x14ac:dyDescent="0.25">
      <c r="A22" s="7" t="s">
        <v>15</v>
      </c>
      <c r="B22" s="7">
        <f t="shared" ref="B22:G22" si="3">SUM(B16:B21)</f>
        <v>225</v>
      </c>
      <c r="C22" s="7">
        <f t="shared" si="3"/>
        <v>224</v>
      </c>
      <c r="D22" s="7">
        <f t="shared" si="3"/>
        <v>201</v>
      </c>
      <c r="E22" s="7">
        <f t="shared" si="3"/>
        <v>161</v>
      </c>
      <c r="F22" s="7">
        <f t="shared" si="3"/>
        <v>216</v>
      </c>
      <c r="G22" s="7">
        <f t="shared" si="3"/>
        <v>75</v>
      </c>
      <c r="H22" s="7">
        <f>SUM(H16:H21)</f>
        <v>8</v>
      </c>
      <c r="I22" s="6">
        <f>SUM(B22:H22)</f>
        <v>1110</v>
      </c>
      <c r="J22" s="1"/>
      <c r="K22" s="1"/>
    </row>
    <row r="23" spans="1:11" x14ac:dyDescent="0.25">
      <c r="A23" s="5" t="s">
        <v>63</v>
      </c>
      <c r="B23" s="5">
        <v>7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7</v>
      </c>
    </row>
    <row r="24" spans="1:11" x14ac:dyDescent="0.25">
      <c r="A24" s="5" t="s">
        <v>44</v>
      </c>
      <c r="B24" s="5">
        <v>3</v>
      </c>
      <c r="C24" s="5">
        <v>0</v>
      </c>
      <c r="D24" s="5">
        <v>3</v>
      </c>
      <c r="E24" s="5">
        <v>0</v>
      </c>
      <c r="F24" s="5">
        <v>4</v>
      </c>
      <c r="G24" s="5">
        <v>0</v>
      </c>
      <c r="H24" s="5">
        <v>0</v>
      </c>
      <c r="I24" s="6">
        <f>SUM(B24:H24)</f>
        <v>10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45978</v>
      </c>
      <c r="C28" s="4">
        <v>45979</v>
      </c>
      <c r="D28" s="4">
        <v>45980</v>
      </c>
      <c r="E28" s="4">
        <v>45981</v>
      </c>
      <c r="F28" s="4">
        <v>45982</v>
      </c>
      <c r="G28" s="4">
        <v>45983</v>
      </c>
      <c r="H28" s="4">
        <v>45984</v>
      </c>
      <c r="I28" s="2" t="s">
        <v>8</v>
      </c>
    </row>
    <row r="29" spans="1:11" x14ac:dyDescent="0.25">
      <c r="A29" s="5" t="s">
        <v>9</v>
      </c>
      <c r="B29" s="5">
        <v>134</v>
      </c>
      <c r="C29" s="5">
        <v>119</v>
      </c>
      <c r="D29" s="5">
        <v>140</v>
      </c>
      <c r="E29" s="5">
        <v>109</v>
      </c>
      <c r="F29" s="5">
        <v>102</v>
      </c>
      <c r="G29" s="5">
        <v>52</v>
      </c>
      <c r="H29" s="5">
        <v>0</v>
      </c>
      <c r="I29" s="6">
        <f t="shared" ref="I29:I37" si="4">SUM(B29:H29)</f>
        <v>656</v>
      </c>
    </row>
    <row r="30" spans="1:11" x14ac:dyDescent="0.25">
      <c r="A30" s="5" t="s">
        <v>10</v>
      </c>
      <c r="B30" s="5">
        <v>70</v>
      </c>
      <c r="C30" s="5">
        <v>70</v>
      </c>
      <c r="D30" s="5">
        <v>60</v>
      </c>
      <c r="E30" s="5">
        <v>43</v>
      </c>
      <c r="F30" s="5">
        <v>63</v>
      </c>
      <c r="G30" s="5">
        <v>24</v>
      </c>
      <c r="H30" s="5">
        <v>6</v>
      </c>
      <c r="I30" s="6">
        <f>SUM(B30:H30)</f>
        <v>336</v>
      </c>
    </row>
    <row r="31" spans="1:11" x14ac:dyDescent="0.25">
      <c r="A31" s="5" t="s">
        <v>11</v>
      </c>
      <c r="B31" s="5">
        <v>18</v>
      </c>
      <c r="C31" s="5">
        <v>6</v>
      </c>
      <c r="D31" s="5">
        <v>11</v>
      </c>
      <c r="E31" s="5">
        <v>1</v>
      </c>
      <c r="F31" s="5">
        <v>5</v>
      </c>
      <c r="G31" s="5">
        <v>1</v>
      </c>
      <c r="H31" s="5" t="s">
        <v>66</v>
      </c>
      <c r="I31" s="6">
        <f t="shared" si="4"/>
        <v>42</v>
      </c>
    </row>
    <row r="32" spans="1:11" x14ac:dyDescent="0.25">
      <c r="A32" s="5" t="s">
        <v>12</v>
      </c>
      <c r="B32" s="5">
        <v>4</v>
      </c>
      <c r="C32" s="5">
        <v>7</v>
      </c>
      <c r="D32" s="5">
        <v>7</v>
      </c>
      <c r="E32" s="5">
        <v>0</v>
      </c>
      <c r="F32" s="5">
        <v>8</v>
      </c>
      <c r="G32" s="5">
        <v>0</v>
      </c>
      <c r="H32" s="5">
        <v>0</v>
      </c>
      <c r="I32" s="6">
        <f t="shared" si="4"/>
        <v>26</v>
      </c>
    </row>
    <row r="33" spans="1:11" x14ac:dyDescent="0.25">
      <c r="A33" s="5" t="s">
        <v>61</v>
      </c>
      <c r="B33" s="5">
        <v>2</v>
      </c>
      <c r="C33" s="5">
        <v>2</v>
      </c>
      <c r="D33" s="5">
        <v>2</v>
      </c>
      <c r="E33" s="5">
        <v>3</v>
      </c>
      <c r="F33" s="5">
        <v>6</v>
      </c>
      <c r="G33" s="5">
        <v>0</v>
      </c>
      <c r="H33" s="5">
        <v>0</v>
      </c>
      <c r="I33" s="6">
        <f t="shared" si="4"/>
        <v>15</v>
      </c>
    </row>
    <row r="34" spans="1:11" x14ac:dyDescent="0.25">
      <c r="A34" s="5" t="s">
        <v>37</v>
      </c>
      <c r="B34" s="5">
        <v>0</v>
      </c>
      <c r="C34" s="5">
        <v>16</v>
      </c>
      <c r="D34" s="5">
        <v>12</v>
      </c>
      <c r="E34" s="5">
        <v>13</v>
      </c>
      <c r="F34" s="5">
        <v>4</v>
      </c>
      <c r="G34" s="5">
        <v>0</v>
      </c>
      <c r="H34" s="5">
        <v>0</v>
      </c>
      <c r="I34" s="6">
        <f t="shared" si="4"/>
        <v>45</v>
      </c>
    </row>
    <row r="35" spans="1:11" x14ac:dyDescent="0.25">
      <c r="A35" s="7" t="s">
        <v>15</v>
      </c>
      <c r="B35" s="7">
        <f t="shared" ref="B35:H35" si="5">SUM(B29:B34)</f>
        <v>228</v>
      </c>
      <c r="C35" s="7">
        <f t="shared" si="5"/>
        <v>220</v>
      </c>
      <c r="D35" s="7">
        <f t="shared" si="5"/>
        <v>232</v>
      </c>
      <c r="E35" s="7">
        <f t="shared" si="5"/>
        <v>169</v>
      </c>
      <c r="F35" s="7">
        <f t="shared" si="5"/>
        <v>188</v>
      </c>
      <c r="G35" s="7">
        <f t="shared" si="5"/>
        <v>77</v>
      </c>
      <c r="H35" s="7">
        <f t="shared" si="5"/>
        <v>6</v>
      </c>
      <c r="I35" s="6">
        <f t="shared" si="4"/>
        <v>1120</v>
      </c>
      <c r="J35" s="1"/>
      <c r="K35" s="1"/>
    </row>
    <row r="36" spans="1:11" x14ac:dyDescent="0.25">
      <c r="A36" s="5" t="s">
        <v>65</v>
      </c>
      <c r="B36" s="5">
        <v>11</v>
      </c>
      <c r="C36" s="5">
        <v>0</v>
      </c>
      <c r="D36" s="5">
        <v>0</v>
      </c>
      <c r="E36" s="5">
        <v>0</v>
      </c>
      <c r="F36" s="5">
        <v>0</v>
      </c>
      <c r="G36" s="5">
        <v>7</v>
      </c>
      <c r="H36" s="5">
        <v>0</v>
      </c>
      <c r="I36" s="6">
        <f t="shared" si="4"/>
        <v>18</v>
      </c>
    </row>
    <row r="37" spans="1:11" x14ac:dyDescent="0.25">
      <c r="A37" s="5" t="s">
        <v>44</v>
      </c>
      <c r="B37" s="5">
        <v>2</v>
      </c>
      <c r="C37" s="5">
        <v>0</v>
      </c>
      <c r="D37" s="5">
        <v>8</v>
      </c>
      <c r="E37" s="5">
        <v>0</v>
      </c>
      <c r="F37" s="5">
        <v>4</v>
      </c>
      <c r="G37" s="5">
        <v>0</v>
      </c>
      <c r="H37" s="5">
        <v>0</v>
      </c>
      <c r="I37" s="6">
        <f t="shared" si="4"/>
        <v>14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45985</v>
      </c>
      <c r="C41" s="4">
        <v>45986</v>
      </c>
      <c r="D41" s="4">
        <v>45987</v>
      </c>
      <c r="E41" s="4">
        <v>45988</v>
      </c>
      <c r="F41" s="4">
        <v>45989</v>
      </c>
      <c r="G41" s="4">
        <v>45990</v>
      </c>
      <c r="H41" s="4">
        <v>45991</v>
      </c>
      <c r="I41" s="2" t="s">
        <v>8</v>
      </c>
    </row>
    <row r="42" spans="1:11" x14ac:dyDescent="0.25">
      <c r="A42" s="5" t="s">
        <v>9</v>
      </c>
      <c r="B42" s="5">
        <v>128</v>
      </c>
      <c r="C42" s="5">
        <v>112</v>
      </c>
      <c r="D42" s="5">
        <v>124</v>
      </c>
      <c r="E42" s="5">
        <v>0</v>
      </c>
      <c r="F42" s="5">
        <v>100</v>
      </c>
      <c r="G42" s="5">
        <v>43</v>
      </c>
      <c r="H42" s="5">
        <v>0</v>
      </c>
      <c r="I42" s="6">
        <f t="shared" ref="I42:I50" si="6">SUM(B42:H42)</f>
        <v>507</v>
      </c>
    </row>
    <row r="43" spans="1:11" x14ac:dyDescent="0.25">
      <c r="A43" s="5" t="s">
        <v>10</v>
      </c>
      <c r="B43" s="5">
        <v>69</v>
      </c>
      <c r="C43" s="5">
        <v>70</v>
      </c>
      <c r="D43" s="5">
        <v>84</v>
      </c>
      <c r="E43" s="5">
        <v>0</v>
      </c>
      <c r="F43" s="5">
        <v>54</v>
      </c>
      <c r="G43" s="5">
        <v>18</v>
      </c>
      <c r="H43" s="5">
        <v>10</v>
      </c>
      <c r="I43" s="6">
        <f t="shared" si="6"/>
        <v>305</v>
      </c>
    </row>
    <row r="44" spans="1:11" x14ac:dyDescent="0.25">
      <c r="A44" s="5" t="s">
        <v>11</v>
      </c>
      <c r="B44" s="5">
        <v>17</v>
      </c>
      <c r="C44" s="5">
        <v>9</v>
      </c>
      <c r="D44" s="5">
        <v>7</v>
      </c>
      <c r="E44" s="5">
        <v>0</v>
      </c>
      <c r="F44" s="5">
        <v>4</v>
      </c>
      <c r="G44" s="5">
        <v>0</v>
      </c>
      <c r="H44" s="5">
        <v>0</v>
      </c>
      <c r="I44" s="6">
        <f t="shared" si="6"/>
        <v>37</v>
      </c>
    </row>
    <row r="45" spans="1:11" x14ac:dyDescent="0.25">
      <c r="A45" s="5" t="s">
        <v>12</v>
      </c>
      <c r="B45" s="5">
        <v>4</v>
      </c>
      <c r="C45" s="5">
        <v>4</v>
      </c>
      <c r="D45" s="5">
        <v>6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14</v>
      </c>
    </row>
    <row r="46" spans="1:11" x14ac:dyDescent="0.25">
      <c r="A46" s="5" t="s">
        <v>13</v>
      </c>
      <c r="B46" s="5">
        <v>5</v>
      </c>
      <c r="C46" s="5">
        <v>4</v>
      </c>
      <c r="D46" s="5">
        <v>2</v>
      </c>
      <c r="E46" s="5">
        <v>0</v>
      </c>
      <c r="F46" s="5">
        <v>3</v>
      </c>
      <c r="G46" s="5">
        <v>7</v>
      </c>
      <c r="H46" s="5">
        <v>0</v>
      </c>
      <c r="I46" s="6">
        <f t="shared" si="6"/>
        <v>21</v>
      </c>
    </row>
    <row r="47" spans="1:11" x14ac:dyDescent="0.25">
      <c r="A47" s="5" t="s">
        <v>37</v>
      </c>
      <c r="B47" s="5">
        <v>16</v>
      </c>
      <c r="C47" s="5">
        <v>11</v>
      </c>
      <c r="D47" s="5">
        <v>17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44</v>
      </c>
    </row>
    <row r="48" spans="1:11" x14ac:dyDescent="0.25">
      <c r="A48" s="7" t="s">
        <v>15</v>
      </c>
      <c r="B48" s="7">
        <f>SUM(B42:B47)</f>
        <v>239</v>
      </c>
      <c r="C48" s="7">
        <f t="shared" ref="C48:H48" si="7">SUM(C42:C47)</f>
        <v>210</v>
      </c>
      <c r="D48" s="7">
        <f t="shared" si="7"/>
        <v>240</v>
      </c>
      <c r="E48" s="7">
        <f t="shared" si="7"/>
        <v>0</v>
      </c>
      <c r="F48" s="7">
        <f t="shared" si="7"/>
        <v>161</v>
      </c>
      <c r="G48" s="7">
        <f t="shared" si="7"/>
        <v>68</v>
      </c>
      <c r="H48" s="7">
        <f t="shared" si="7"/>
        <v>10</v>
      </c>
      <c r="I48" s="6">
        <f t="shared" si="6"/>
        <v>928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4286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6" fitToWidth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ABCE-C1A4-434B-9CFE-053F36F4FFFF}">
  <dimension ref="A1:H45"/>
  <sheetViews>
    <sheetView topLeftCell="A7" workbookViewId="0">
      <selection activeCell="G27" sqref="G27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45964</v>
      </c>
      <c r="C2" s="4">
        <v>45965</v>
      </c>
      <c r="D2" s="4">
        <v>45966</v>
      </c>
      <c r="E2" s="4">
        <v>45967</v>
      </c>
      <c r="F2" s="4">
        <v>45968</v>
      </c>
      <c r="G2" s="4">
        <v>45969</v>
      </c>
      <c r="H2" s="3" t="s">
        <v>19</v>
      </c>
    </row>
    <row r="3" spans="1:8" x14ac:dyDescent="0.25">
      <c r="A3" s="5" t="s">
        <v>20</v>
      </c>
      <c r="B3" s="5">
        <v>21</v>
      </c>
      <c r="C3" s="5">
        <v>19</v>
      </c>
      <c r="D3" s="5">
        <v>19</v>
      </c>
      <c r="E3" s="5">
        <v>0</v>
      </c>
      <c r="F3" s="5">
        <v>0</v>
      </c>
      <c r="G3" s="5">
        <v>0</v>
      </c>
      <c r="H3" s="6">
        <f t="shared" ref="H3:H9" si="0">SUM(B3:G3)</f>
        <v>59</v>
      </c>
    </row>
    <row r="4" spans="1:8" x14ac:dyDescent="0.25">
      <c r="A4" s="5" t="s">
        <v>21</v>
      </c>
      <c r="B4" s="5">
        <v>22</v>
      </c>
      <c r="C4" s="5">
        <v>21</v>
      </c>
      <c r="D4" s="5">
        <v>32</v>
      </c>
      <c r="E4" s="5">
        <v>27</v>
      </c>
      <c r="F4" s="5">
        <v>37</v>
      </c>
      <c r="G4" s="5">
        <v>0</v>
      </c>
      <c r="H4" s="6">
        <f t="shared" si="0"/>
        <v>139</v>
      </c>
    </row>
    <row r="5" spans="1:8" x14ac:dyDescent="0.25">
      <c r="A5" s="5" t="s">
        <v>60</v>
      </c>
      <c r="B5" s="5">
        <v>15</v>
      </c>
      <c r="C5" s="5">
        <v>7</v>
      </c>
      <c r="D5" s="5">
        <v>15</v>
      </c>
      <c r="E5" s="5">
        <v>23</v>
      </c>
      <c r="F5" s="5">
        <v>23</v>
      </c>
      <c r="G5" s="5">
        <v>19</v>
      </c>
      <c r="H5" s="6">
        <f t="shared" si="0"/>
        <v>102</v>
      </c>
    </row>
    <row r="6" spans="1:8" x14ac:dyDescent="0.25">
      <c r="A6" s="5" t="s">
        <v>23</v>
      </c>
      <c r="B6" s="5">
        <v>41</v>
      </c>
      <c r="C6" s="5">
        <v>62</v>
      </c>
      <c r="D6" s="5">
        <v>63</v>
      </c>
      <c r="E6" s="5">
        <v>40</v>
      </c>
      <c r="F6" s="5">
        <v>49</v>
      </c>
      <c r="G6" s="5">
        <v>33</v>
      </c>
      <c r="H6" s="6">
        <f t="shared" si="0"/>
        <v>288</v>
      </c>
    </row>
    <row r="7" spans="1:8" x14ac:dyDescent="0.25">
      <c r="A7" s="7" t="s">
        <v>15</v>
      </c>
      <c r="B7" s="7">
        <f t="shared" ref="B7:G7" si="1">SUM(B3:B6)</f>
        <v>99</v>
      </c>
      <c r="C7" s="7">
        <f t="shared" si="1"/>
        <v>109</v>
      </c>
      <c r="D7" s="7">
        <f t="shared" si="1"/>
        <v>129</v>
      </c>
      <c r="E7" s="7">
        <f t="shared" si="1"/>
        <v>90</v>
      </c>
      <c r="F7" s="7">
        <f t="shared" si="1"/>
        <v>109</v>
      </c>
      <c r="G7" s="7">
        <f t="shared" si="1"/>
        <v>52</v>
      </c>
      <c r="H7" s="6">
        <f t="shared" si="0"/>
        <v>588</v>
      </c>
    </row>
    <row r="8" spans="1:8" x14ac:dyDescent="0.25">
      <c r="A8" s="5" t="s">
        <v>62</v>
      </c>
      <c r="B8" s="5">
        <v>9</v>
      </c>
      <c r="C8" s="5"/>
      <c r="D8" s="5"/>
      <c r="E8" s="5"/>
      <c r="F8" s="5"/>
      <c r="G8" s="5"/>
      <c r="H8" s="6">
        <f t="shared" si="0"/>
        <v>9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45971</v>
      </c>
      <c r="C11" s="4">
        <v>45972</v>
      </c>
      <c r="D11" s="4">
        <v>45973</v>
      </c>
      <c r="E11" s="4">
        <v>45974</v>
      </c>
      <c r="F11" s="4">
        <v>45975</v>
      </c>
      <c r="G11" s="4">
        <v>45976</v>
      </c>
      <c r="H11" s="3" t="s">
        <v>19</v>
      </c>
    </row>
    <row r="12" spans="1:8" x14ac:dyDescent="0.25">
      <c r="A12" s="5" t="s">
        <v>20</v>
      </c>
      <c r="B12" s="5">
        <v>21</v>
      </c>
      <c r="C12" s="5">
        <v>18</v>
      </c>
      <c r="D12" s="5">
        <v>32</v>
      </c>
      <c r="E12" s="5">
        <v>33</v>
      </c>
      <c r="F12" s="5">
        <v>19</v>
      </c>
      <c r="G12" s="5">
        <v>0</v>
      </c>
      <c r="H12" s="6">
        <f t="shared" ref="H12:H18" si="2">SUM(B12:G12)</f>
        <v>123</v>
      </c>
    </row>
    <row r="13" spans="1:8" x14ac:dyDescent="0.25">
      <c r="A13" s="5" t="s">
        <v>21</v>
      </c>
      <c r="B13" s="5">
        <v>33</v>
      </c>
      <c r="C13" s="5">
        <v>26</v>
      </c>
      <c r="D13" s="5">
        <v>0</v>
      </c>
      <c r="E13" s="5">
        <v>25</v>
      </c>
      <c r="F13" s="5">
        <v>20</v>
      </c>
      <c r="G13" s="5">
        <v>18</v>
      </c>
      <c r="H13" s="6">
        <f t="shared" si="2"/>
        <v>122</v>
      </c>
    </row>
    <row r="14" spans="1:8" x14ac:dyDescent="0.25">
      <c r="A14" s="5" t="s">
        <v>60</v>
      </c>
      <c r="B14" s="5">
        <v>11</v>
      </c>
      <c r="C14" s="5">
        <v>15</v>
      </c>
      <c r="D14" s="5">
        <v>23</v>
      </c>
      <c r="E14" s="5">
        <v>9</v>
      </c>
      <c r="F14" s="5">
        <v>17</v>
      </c>
      <c r="G14" s="5">
        <v>0</v>
      </c>
      <c r="H14" s="6">
        <f t="shared" si="2"/>
        <v>75</v>
      </c>
    </row>
    <row r="15" spans="1:8" x14ac:dyDescent="0.25">
      <c r="A15" s="5" t="s">
        <v>23</v>
      </c>
      <c r="B15" s="5">
        <v>54</v>
      </c>
      <c r="C15" s="5">
        <v>63</v>
      </c>
      <c r="D15" s="5">
        <v>60</v>
      </c>
      <c r="E15" s="5">
        <v>43</v>
      </c>
      <c r="F15" s="5">
        <v>54</v>
      </c>
      <c r="G15" s="5">
        <v>30</v>
      </c>
      <c r="H15" s="6">
        <f t="shared" si="2"/>
        <v>304</v>
      </c>
    </row>
    <row r="16" spans="1:8" x14ac:dyDescent="0.25">
      <c r="A16" s="7" t="s">
        <v>15</v>
      </c>
      <c r="B16" s="7">
        <f t="shared" ref="B16:G16" si="3">SUM(B12:B15)</f>
        <v>119</v>
      </c>
      <c r="C16" s="7">
        <f t="shared" si="3"/>
        <v>122</v>
      </c>
      <c r="D16" s="7">
        <f t="shared" si="3"/>
        <v>115</v>
      </c>
      <c r="E16" s="7">
        <f>SUM(E12:E15)</f>
        <v>110</v>
      </c>
      <c r="F16" s="7">
        <f t="shared" si="3"/>
        <v>110</v>
      </c>
      <c r="G16" s="7">
        <f t="shared" si="3"/>
        <v>48</v>
      </c>
      <c r="H16" s="6">
        <f t="shared" si="2"/>
        <v>624</v>
      </c>
    </row>
    <row r="17" spans="1:8" x14ac:dyDescent="0.25">
      <c r="A17" s="5" t="s">
        <v>62</v>
      </c>
      <c r="B17" s="5">
        <v>7</v>
      </c>
      <c r="C17" s="5"/>
      <c r="D17" s="5"/>
      <c r="E17" s="5"/>
      <c r="F17" s="5"/>
      <c r="G17" s="8"/>
      <c r="H17" s="6">
        <f t="shared" si="2"/>
        <v>7</v>
      </c>
    </row>
    <row r="18" spans="1:8" x14ac:dyDescent="0.25">
      <c r="A18" s="5" t="s">
        <v>44</v>
      </c>
      <c r="B18" s="5">
        <v>3</v>
      </c>
      <c r="C18" s="5"/>
      <c r="D18" s="5">
        <v>3</v>
      </c>
      <c r="E18" s="5"/>
      <c r="F18" s="5">
        <v>4</v>
      </c>
      <c r="G18" s="5"/>
      <c r="H18" s="6">
        <f t="shared" si="2"/>
        <v>10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45978</v>
      </c>
      <c r="C20" s="4">
        <v>45979</v>
      </c>
      <c r="D20" s="4">
        <v>45980</v>
      </c>
      <c r="E20" s="4">
        <v>45981</v>
      </c>
      <c r="F20" s="4">
        <v>45982</v>
      </c>
      <c r="G20" s="4">
        <v>45983</v>
      </c>
      <c r="H20" s="3" t="s">
        <v>19</v>
      </c>
    </row>
    <row r="21" spans="1:8" x14ac:dyDescent="0.25">
      <c r="A21" s="5" t="s">
        <v>20</v>
      </c>
      <c r="B21" s="5">
        <v>22</v>
      </c>
      <c r="C21" s="5">
        <v>19</v>
      </c>
      <c r="D21" s="5">
        <v>24</v>
      </c>
      <c r="E21" s="5">
        <v>16</v>
      </c>
      <c r="F21" s="5">
        <v>13</v>
      </c>
      <c r="G21" s="5">
        <v>0</v>
      </c>
      <c r="H21" s="6">
        <f t="shared" ref="H21:H27" si="4">SUM(B21:G21)</f>
        <v>94</v>
      </c>
    </row>
    <row r="22" spans="1:8" x14ac:dyDescent="0.25">
      <c r="A22" s="5" t="s">
        <v>21</v>
      </c>
      <c r="B22" s="5">
        <v>30</v>
      </c>
      <c r="C22" s="5">
        <v>28</v>
      </c>
      <c r="D22" s="5">
        <v>35</v>
      </c>
      <c r="E22" s="5">
        <v>21</v>
      </c>
      <c r="F22" s="5">
        <v>22</v>
      </c>
      <c r="G22" s="5">
        <v>24</v>
      </c>
      <c r="H22" s="6">
        <f t="shared" si="4"/>
        <v>160</v>
      </c>
    </row>
    <row r="23" spans="1:8" x14ac:dyDescent="0.25">
      <c r="A23" s="5" t="s">
        <v>60</v>
      </c>
      <c r="B23" s="5">
        <v>13</v>
      </c>
      <c r="C23" s="5">
        <v>10</v>
      </c>
      <c r="D23" s="5">
        <v>11</v>
      </c>
      <c r="E23" s="5">
        <v>17</v>
      </c>
      <c r="F23" s="5">
        <v>17</v>
      </c>
      <c r="G23" s="5">
        <v>0</v>
      </c>
      <c r="H23" s="6">
        <f t="shared" si="4"/>
        <v>68</v>
      </c>
    </row>
    <row r="24" spans="1:8" x14ac:dyDescent="0.25">
      <c r="A24" s="5" t="s">
        <v>23</v>
      </c>
      <c r="B24" s="5">
        <v>56</v>
      </c>
      <c r="C24" s="5">
        <v>62</v>
      </c>
      <c r="D24" s="5">
        <v>62</v>
      </c>
      <c r="E24" s="5">
        <v>55</v>
      </c>
      <c r="F24" s="5">
        <v>50</v>
      </c>
      <c r="G24" s="5">
        <v>28</v>
      </c>
      <c r="H24" s="6">
        <f t="shared" si="4"/>
        <v>313</v>
      </c>
    </row>
    <row r="25" spans="1:8" x14ac:dyDescent="0.25">
      <c r="A25" s="7" t="s">
        <v>15</v>
      </c>
      <c r="B25" s="7">
        <f t="shared" ref="B25:G25" si="5">SUM(B21:B24)</f>
        <v>121</v>
      </c>
      <c r="C25" s="7">
        <f t="shared" si="5"/>
        <v>119</v>
      </c>
      <c r="D25" s="7">
        <f t="shared" si="5"/>
        <v>132</v>
      </c>
      <c r="E25" s="7">
        <f>SUM(E21:E24)</f>
        <v>109</v>
      </c>
      <c r="F25" s="7">
        <f t="shared" si="5"/>
        <v>102</v>
      </c>
      <c r="G25" s="7">
        <f t="shared" si="5"/>
        <v>52</v>
      </c>
      <c r="H25" s="6">
        <f t="shared" si="4"/>
        <v>635</v>
      </c>
    </row>
    <row r="26" spans="1:8" x14ac:dyDescent="0.25">
      <c r="A26" s="5" t="s">
        <v>65</v>
      </c>
      <c r="B26" s="5">
        <v>11</v>
      </c>
      <c r="C26" s="5">
        <v>0</v>
      </c>
      <c r="D26" s="5">
        <v>0</v>
      </c>
      <c r="E26" s="5">
        <v>0</v>
      </c>
      <c r="F26" s="5">
        <v>0</v>
      </c>
      <c r="G26" s="5">
        <v>7</v>
      </c>
      <c r="H26" s="6">
        <f t="shared" si="4"/>
        <v>18</v>
      </c>
    </row>
    <row r="27" spans="1:8" x14ac:dyDescent="0.25">
      <c r="A27" s="5" t="s">
        <v>32</v>
      </c>
      <c r="B27" s="5">
        <v>2</v>
      </c>
      <c r="C27" s="5">
        <v>0</v>
      </c>
      <c r="D27" s="5">
        <v>8</v>
      </c>
      <c r="E27" s="5">
        <v>0</v>
      </c>
      <c r="F27" s="5">
        <v>4</v>
      </c>
      <c r="G27" s="5">
        <v>0</v>
      </c>
      <c r="H27" s="6">
        <f t="shared" si="4"/>
        <v>14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45985</v>
      </c>
      <c r="C29" s="4">
        <v>45986</v>
      </c>
      <c r="D29" s="4">
        <v>45987</v>
      </c>
      <c r="E29" s="4">
        <v>45988</v>
      </c>
      <c r="F29" s="4">
        <v>45989</v>
      </c>
      <c r="G29" s="4">
        <v>45990</v>
      </c>
      <c r="H29" s="3" t="s">
        <v>19</v>
      </c>
    </row>
    <row r="30" spans="1:8" x14ac:dyDescent="0.25">
      <c r="A30" s="5" t="s">
        <v>20</v>
      </c>
      <c r="B30" s="5">
        <v>32</v>
      </c>
      <c r="C30" s="5">
        <v>28</v>
      </c>
      <c r="D30" s="5">
        <v>21</v>
      </c>
      <c r="E30" s="5">
        <v>0</v>
      </c>
      <c r="F30" s="5">
        <v>21</v>
      </c>
      <c r="G30" s="5">
        <v>16</v>
      </c>
      <c r="H30" s="6">
        <f>SUM(B30:G30)</f>
        <v>118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6">SUM(B31:G31)</f>
        <v>0</v>
      </c>
    </row>
    <row r="32" spans="1:8" x14ac:dyDescent="0.25">
      <c r="A32" s="5" t="s">
        <v>64</v>
      </c>
      <c r="B32" s="5">
        <v>25</v>
      </c>
      <c r="C32" s="5">
        <v>17</v>
      </c>
      <c r="D32" s="5">
        <v>20</v>
      </c>
      <c r="E32" s="5">
        <v>0</v>
      </c>
      <c r="F32" s="5">
        <v>15</v>
      </c>
      <c r="G32" s="5">
        <v>0</v>
      </c>
      <c r="H32" s="6">
        <f t="shared" si="6"/>
        <v>77</v>
      </c>
    </row>
    <row r="33" spans="1:8" x14ac:dyDescent="0.25">
      <c r="A33" s="5" t="s">
        <v>23</v>
      </c>
      <c r="B33" s="5">
        <v>57</v>
      </c>
      <c r="C33" s="5">
        <v>67</v>
      </c>
      <c r="D33" s="5">
        <v>78</v>
      </c>
      <c r="E33" s="5">
        <v>0</v>
      </c>
      <c r="F33" s="5">
        <v>62</v>
      </c>
      <c r="G33" s="5">
        <v>27</v>
      </c>
      <c r="H33" s="6">
        <f t="shared" si="6"/>
        <v>291</v>
      </c>
    </row>
    <row r="34" spans="1:8" x14ac:dyDescent="0.25">
      <c r="A34" s="7" t="s">
        <v>15</v>
      </c>
      <c r="B34" s="7">
        <f t="shared" ref="B34:G34" si="7">SUM(B30:B33)</f>
        <v>114</v>
      </c>
      <c r="C34" s="7">
        <f t="shared" si="7"/>
        <v>112</v>
      </c>
      <c r="D34" s="7">
        <f t="shared" si="7"/>
        <v>119</v>
      </c>
      <c r="E34" s="7">
        <f t="shared" si="7"/>
        <v>0</v>
      </c>
      <c r="F34" s="7">
        <f t="shared" si="7"/>
        <v>98</v>
      </c>
      <c r="G34" s="7">
        <f t="shared" si="7"/>
        <v>43</v>
      </c>
      <c r="H34" s="6">
        <f t="shared" si="6"/>
        <v>486</v>
      </c>
    </row>
    <row r="35" spans="1:8" x14ac:dyDescent="0.25">
      <c r="A35" s="5" t="s">
        <v>65</v>
      </c>
      <c r="B35" s="5">
        <v>11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6">
        <f t="shared" si="6"/>
        <v>11</v>
      </c>
    </row>
    <row r="36" spans="1:8" x14ac:dyDescent="0.25">
      <c r="A36" s="5" t="s">
        <v>32</v>
      </c>
      <c r="B36" s="5">
        <v>3</v>
      </c>
      <c r="C36" s="5">
        <v>0</v>
      </c>
      <c r="D36" s="5">
        <v>5</v>
      </c>
      <c r="E36" s="5">
        <v>0</v>
      </c>
      <c r="F36" s="5">
        <v>2</v>
      </c>
      <c r="G36" s="5">
        <v>0</v>
      </c>
      <c r="H36" s="6">
        <f t="shared" si="6"/>
        <v>10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60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53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32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37AC-1AF2-4FA5-8F8D-75575F978692}">
  <sheetPr>
    <pageSetUpPr fitToPage="1"/>
  </sheetPr>
  <dimension ref="A1:K62"/>
  <sheetViews>
    <sheetView tabSelected="1" topLeftCell="A41" workbookViewId="0">
      <selection activeCell="F62" sqref="F62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45992</v>
      </c>
      <c r="C2" s="4">
        <v>45993</v>
      </c>
      <c r="D2" s="4">
        <v>45994</v>
      </c>
      <c r="E2" s="4">
        <v>45995</v>
      </c>
      <c r="F2" s="4">
        <v>45996</v>
      </c>
      <c r="G2" s="4">
        <v>45997</v>
      </c>
      <c r="H2" s="4">
        <v>45998</v>
      </c>
      <c r="I2" s="2" t="s">
        <v>8</v>
      </c>
    </row>
    <row r="3" spans="1:11" x14ac:dyDescent="0.25">
      <c r="A3" s="5" t="s">
        <v>9</v>
      </c>
      <c r="B3" s="5">
        <v>140</v>
      </c>
      <c r="C3" s="5">
        <v>139</v>
      </c>
      <c r="D3" s="5">
        <v>149</v>
      </c>
      <c r="E3" s="5">
        <v>107</v>
      </c>
      <c r="F3" s="5">
        <v>114</v>
      </c>
      <c r="G3" s="5">
        <v>60</v>
      </c>
      <c r="H3" s="5">
        <v>0</v>
      </c>
      <c r="I3" s="6">
        <f t="shared" ref="I3:I11" si="0">SUM(B3:H3)</f>
        <v>709</v>
      </c>
    </row>
    <row r="4" spans="1:11" x14ac:dyDescent="0.25">
      <c r="A4" s="5" t="s">
        <v>10</v>
      </c>
      <c r="B4" s="5">
        <v>72</v>
      </c>
      <c r="C4" s="5">
        <v>64</v>
      </c>
      <c r="D4" s="5">
        <v>69</v>
      </c>
      <c r="E4" s="5">
        <v>44</v>
      </c>
      <c r="F4" s="5">
        <v>60</v>
      </c>
      <c r="G4" s="5">
        <v>25</v>
      </c>
      <c r="H4" s="5">
        <v>5</v>
      </c>
      <c r="I4" s="6">
        <f t="shared" si="0"/>
        <v>339</v>
      </c>
    </row>
    <row r="5" spans="1:11" x14ac:dyDescent="0.25">
      <c r="A5" s="5" t="s">
        <v>11</v>
      </c>
      <c r="B5" s="5">
        <v>10</v>
      </c>
      <c r="C5" s="5">
        <v>4</v>
      </c>
      <c r="D5" s="5">
        <v>18</v>
      </c>
      <c r="E5" s="5">
        <v>0</v>
      </c>
      <c r="F5" s="5">
        <v>15</v>
      </c>
      <c r="G5" s="5">
        <v>0</v>
      </c>
      <c r="H5" s="5">
        <v>0</v>
      </c>
      <c r="I5" s="6">
        <f t="shared" si="0"/>
        <v>47</v>
      </c>
    </row>
    <row r="6" spans="1:11" x14ac:dyDescent="0.25">
      <c r="A6" s="5" t="s">
        <v>12</v>
      </c>
      <c r="B6" s="5">
        <v>5</v>
      </c>
      <c r="C6" s="5">
        <v>3</v>
      </c>
      <c r="D6" s="5">
        <v>7</v>
      </c>
      <c r="E6" s="5">
        <v>0</v>
      </c>
      <c r="F6" s="5">
        <v>10</v>
      </c>
      <c r="G6" s="5">
        <v>0</v>
      </c>
      <c r="H6" s="5">
        <v>0</v>
      </c>
      <c r="I6" s="6">
        <f t="shared" si="0"/>
        <v>25</v>
      </c>
    </row>
    <row r="7" spans="1:11" x14ac:dyDescent="0.25">
      <c r="A7" s="5" t="s">
        <v>47</v>
      </c>
      <c r="B7" s="5">
        <v>5</v>
      </c>
      <c r="C7" s="5">
        <v>4</v>
      </c>
      <c r="D7" s="5">
        <v>2</v>
      </c>
      <c r="E7" s="5">
        <v>4</v>
      </c>
      <c r="F7" s="5">
        <v>5</v>
      </c>
      <c r="G7" s="5">
        <v>3</v>
      </c>
      <c r="H7" s="5">
        <v>0</v>
      </c>
      <c r="I7" s="6">
        <f t="shared" si="0"/>
        <v>23</v>
      </c>
    </row>
    <row r="8" spans="1:11" x14ac:dyDescent="0.25">
      <c r="A8" s="5" t="s">
        <v>37</v>
      </c>
      <c r="B8" s="5">
        <v>17</v>
      </c>
      <c r="C8" s="5">
        <v>16</v>
      </c>
      <c r="D8" s="5">
        <v>16</v>
      </c>
      <c r="E8" s="5">
        <v>9</v>
      </c>
      <c r="F8" s="5">
        <v>0</v>
      </c>
      <c r="G8" s="5">
        <v>0</v>
      </c>
      <c r="H8" s="5">
        <v>0</v>
      </c>
      <c r="I8" s="6">
        <f t="shared" si="0"/>
        <v>58</v>
      </c>
    </row>
    <row r="9" spans="1:11" x14ac:dyDescent="0.25">
      <c r="A9" s="7" t="s">
        <v>15</v>
      </c>
      <c r="B9" s="7">
        <f t="shared" ref="B9:H9" si="1">SUM(B3:B8)</f>
        <v>249</v>
      </c>
      <c r="C9" s="7">
        <f t="shared" si="1"/>
        <v>230</v>
      </c>
      <c r="D9" s="7">
        <f t="shared" si="1"/>
        <v>261</v>
      </c>
      <c r="E9" s="7">
        <f t="shared" si="1"/>
        <v>164</v>
      </c>
      <c r="F9" s="7">
        <f t="shared" si="1"/>
        <v>204</v>
      </c>
      <c r="G9" s="7">
        <f t="shared" si="1"/>
        <v>88</v>
      </c>
      <c r="H9" s="7">
        <f t="shared" si="1"/>
        <v>5</v>
      </c>
      <c r="I9" s="6">
        <f t="shared" si="0"/>
        <v>1201</v>
      </c>
      <c r="J9" s="1"/>
      <c r="K9" s="1"/>
    </row>
    <row r="10" spans="1:11" x14ac:dyDescent="0.25">
      <c r="A10" s="5" t="s">
        <v>32</v>
      </c>
      <c r="B10" s="5">
        <v>4</v>
      </c>
      <c r="C10" s="5">
        <v>0</v>
      </c>
      <c r="D10" s="5">
        <v>2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6</v>
      </c>
    </row>
    <row r="11" spans="1:11" x14ac:dyDescent="0.25">
      <c r="A11" s="5" t="s">
        <v>62</v>
      </c>
      <c r="B11" s="5">
        <v>14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14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45999</v>
      </c>
      <c r="C15" s="4">
        <v>46000</v>
      </c>
      <c r="D15" s="4">
        <v>46001</v>
      </c>
      <c r="E15" s="4">
        <v>46002</v>
      </c>
      <c r="F15" s="4">
        <v>46003</v>
      </c>
      <c r="G15" s="4">
        <v>46004</v>
      </c>
      <c r="H15" s="4">
        <v>46005</v>
      </c>
      <c r="I15" s="2" t="s">
        <v>8</v>
      </c>
    </row>
    <row r="16" spans="1:11" x14ac:dyDescent="0.25">
      <c r="A16" s="5" t="s">
        <v>9</v>
      </c>
      <c r="B16" s="5">
        <v>131</v>
      </c>
      <c r="C16" s="5">
        <v>111</v>
      </c>
      <c r="D16" s="5">
        <v>132</v>
      </c>
      <c r="E16" s="5">
        <v>113</v>
      </c>
      <c r="F16" s="5">
        <v>104</v>
      </c>
      <c r="G16" s="5">
        <v>67</v>
      </c>
      <c r="H16" s="5">
        <v>0</v>
      </c>
      <c r="I16" s="6">
        <f>SUM(B16:H16)</f>
        <v>658</v>
      </c>
    </row>
    <row r="17" spans="1:11" x14ac:dyDescent="0.25">
      <c r="A17" s="5" t="s">
        <v>10</v>
      </c>
      <c r="B17" s="5">
        <v>69</v>
      </c>
      <c r="C17" s="5">
        <v>59</v>
      </c>
      <c r="D17" s="5">
        <v>63</v>
      </c>
      <c r="E17" s="5">
        <v>40</v>
      </c>
      <c r="F17" s="5">
        <v>48</v>
      </c>
      <c r="G17" s="5">
        <v>27</v>
      </c>
      <c r="H17" s="5">
        <v>0</v>
      </c>
      <c r="I17" s="6">
        <f t="shared" ref="I17:I21" si="2">SUM(B17:H17)</f>
        <v>306</v>
      </c>
    </row>
    <row r="18" spans="1:11" x14ac:dyDescent="0.25">
      <c r="A18" s="5" t="s">
        <v>11</v>
      </c>
      <c r="B18" s="5">
        <v>15</v>
      </c>
      <c r="C18" s="5">
        <v>8</v>
      </c>
      <c r="D18" s="5">
        <v>19</v>
      </c>
      <c r="E18" s="5">
        <v>0</v>
      </c>
      <c r="F18" s="5">
        <v>12</v>
      </c>
      <c r="G18" s="5">
        <v>0</v>
      </c>
      <c r="H18" s="5">
        <v>0</v>
      </c>
      <c r="I18" s="6">
        <f t="shared" si="2"/>
        <v>54</v>
      </c>
    </row>
    <row r="19" spans="1:11" x14ac:dyDescent="0.25">
      <c r="A19" s="5" t="s">
        <v>12</v>
      </c>
      <c r="B19" s="5">
        <v>4</v>
      </c>
      <c r="C19" s="5">
        <v>4</v>
      </c>
      <c r="D19" s="5">
        <v>7</v>
      </c>
      <c r="E19" s="5">
        <v>0</v>
      </c>
      <c r="F19" s="5">
        <v>12</v>
      </c>
      <c r="G19" s="5">
        <v>0</v>
      </c>
      <c r="H19" s="5">
        <v>0</v>
      </c>
      <c r="I19" s="6">
        <f t="shared" si="2"/>
        <v>27</v>
      </c>
    </row>
    <row r="20" spans="1:11" x14ac:dyDescent="0.25">
      <c r="A20" s="5" t="s">
        <v>47</v>
      </c>
      <c r="B20" s="5">
        <v>7</v>
      </c>
      <c r="C20" s="5">
        <v>5</v>
      </c>
      <c r="D20" s="5">
        <v>2</v>
      </c>
      <c r="E20" s="5">
        <v>1</v>
      </c>
      <c r="F20" s="5">
        <v>0</v>
      </c>
      <c r="G20" s="5">
        <v>3</v>
      </c>
      <c r="H20" s="5">
        <v>0</v>
      </c>
      <c r="I20" s="6">
        <f t="shared" si="2"/>
        <v>18</v>
      </c>
    </row>
    <row r="21" spans="1:11" x14ac:dyDescent="0.25">
      <c r="A21" s="5" t="s">
        <v>37</v>
      </c>
      <c r="B21" s="5">
        <v>18</v>
      </c>
      <c r="C21" s="5">
        <v>19</v>
      </c>
      <c r="D21" s="5">
        <v>12</v>
      </c>
      <c r="E21" s="5">
        <v>12</v>
      </c>
      <c r="F21" s="5">
        <v>5</v>
      </c>
      <c r="G21" s="5">
        <v>0</v>
      </c>
      <c r="H21" s="5">
        <v>0</v>
      </c>
      <c r="I21" s="6">
        <f t="shared" si="2"/>
        <v>66</v>
      </c>
    </row>
    <row r="22" spans="1:11" x14ac:dyDescent="0.25">
      <c r="A22" s="7" t="s">
        <v>15</v>
      </c>
      <c r="B22" s="7">
        <f t="shared" ref="B22:G22" si="3">SUM(B16:B21)</f>
        <v>244</v>
      </c>
      <c r="C22" s="7">
        <f t="shared" si="3"/>
        <v>206</v>
      </c>
      <c r="D22" s="7">
        <f t="shared" si="3"/>
        <v>235</v>
      </c>
      <c r="E22" s="7">
        <f t="shared" si="3"/>
        <v>166</v>
      </c>
      <c r="F22" s="7">
        <f t="shared" si="3"/>
        <v>181</v>
      </c>
      <c r="G22" s="7">
        <f t="shared" si="3"/>
        <v>97</v>
      </c>
      <c r="H22" s="7">
        <f>SUM(H16:H21)</f>
        <v>0</v>
      </c>
      <c r="I22" s="6">
        <f>SUM(B22:H22)</f>
        <v>1129</v>
      </c>
      <c r="J22" s="1"/>
      <c r="K22" s="1"/>
    </row>
    <row r="23" spans="1:11" x14ac:dyDescent="0.25">
      <c r="A23" s="5" t="s">
        <v>44</v>
      </c>
      <c r="B23" s="5">
        <v>7</v>
      </c>
      <c r="C23" s="5">
        <v>0</v>
      </c>
      <c r="D23" s="5">
        <v>5</v>
      </c>
      <c r="E23" s="5">
        <v>0</v>
      </c>
      <c r="F23" s="5">
        <v>5</v>
      </c>
      <c r="G23" s="5">
        <v>0</v>
      </c>
      <c r="H23" s="5">
        <v>0</v>
      </c>
      <c r="I23" s="6">
        <f>SUM(B23:H23)</f>
        <v>17</v>
      </c>
    </row>
    <row r="24" spans="1:11" x14ac:dyDescent="0.25">
      <c r="A24" s="5" t="s">
        <v>62</v>
      </c>
      <c r="B24" s="5">
        <v>12</v>
      </c>
      <c r="C24" s="5">
        <v>1</v>
      </c>
      <c r="D24" s="5">
        <v>0</v>
      </c>
      <c r="E24" s="5">
        <v>0</v>
      </c>
      <c r="F24" s="5">
        <v>0</v>
      </c>
      <c r="G24" s="5">
        <v>8</v>
      </c>
      <c r="H24" s="5">
        <v>0</v>
      </c>
      <c r="I24" s="6">
        <f>SUM(B24:H24)</f>
        <v>21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46006</v>
      </c>
      <c r="C28" s="4">
        <v>46007</v>
      </c>
      <c r="D28" s="4">
        <v>46008</v>
      </c>
      <c r="E28" s="4">
        <v>46009</v>
      </c>
      <c r="F28" s="4">
        <v>46010</v>
      </c>
      <c r="G28" s="4">
        <v>46011</v>
      </c>
      <c r="H28" s="4">
        <v>46012</v>
      </c>
      <c r="I28" s="2" t="s">
        <v>8</v>
      </c>
    </row>
    <row r="29" spans="1:11" x14ac:dyDescent="0.25">
      <c r="A29" s="5" t="s">
        <v>9</v>
      </c>
      <c r="B29" s="5">
        <v>154</v>
      </c>
      <c r="C29" s="5">
        <v>114</v>
      </c>
      <c r="D29" s="5">
        <v>155</v>
      </c>
      <c r="E29" s="5">
        <v>121</v>
      </c>
      <c r="F29" s="5">
        <v>113</v>
      </c>
      <c r="G29" s="5">
        <v>44</v>
      </c>
      <c r="H29" s="5">
        <v>0</v>
      </c>
      <c r="I29" s="6">
        <f t="shared" ref="I29:I37" si="4">SUM(B29:H29)</f>
        <v>701</v>
      </c>
    </row>
    <row r="30" spans="1:11" x14ac:dyDescent="0.25">
      <c r="A30" s="5" t="s">
        <v>10</v>
      </c>
      <c r="B30" s="5">
        <v>71</v>
      </c>
      <c r="C30" s="5">
        <v>40</v>
      </c>
      <c r="D30" s="5">
        <v>70</v>
      </c>
      <c r="E30" s="5">
        <v>39</v>
      </c>
      <c r="F30" s="5">
        <v>60</v>
      </c>
      <c r="G30" s="5">
        <v>24</v>
      </c>
      <c r="H30" s="5">
        <v>6</v>
      </c>
      <c r="I30" s="6">
        <f t="shared" si="4"/>
        <v>310</v>
      </c>
    </row>
    <row r="31" spans="1:11" x14ac:dyDescent="0.25">
      <c r="A31" s="5" t="s">
        <v>11</v>
      </c>
      <c r="B31" s="5">
        <v>20</v>
      </c>
      <c r="C31" s="5">
        <v>8</v>
      </c>
      <c r="D31" s="5">
        <v>19</v>
      </c>
      <c r="E31" s="5">
        <v>0</v>
      </c>
      <c r="F31" s="5">
        <v>6</v>
      </c>
      <c r="G31" s="5">
        <v>0</v>
      </c>
      <c r="H31" s="5">
        <v>0</v>
      </c>
      <c r="I31" s="6">
        <f t="shared" si="4"/>
        <v>53</v>
      </c>
    </row>
    <row r="32" spans="1:11" x14ac:dyDescent="0.25">
      <c r="A32" s="5" t="s">
        <v>12</v>
      </c>
      <c r="B32" s="5">
        <v>7</v>
      </c>
      <c r="C32" s="5">
        <v>8</v>
      </c>
      <c r="D32" s="5">
        <v>7</v>
      </c>
      <c r="E32" s="5">
        <v>0</v>
      </c>
      <c r="F32" s="5">
        <v>12</v>
      </c>
      <c r="G32" s="5">
        <v>0</v>
      </c>
      <c r="H32" s="5">
        <v>0</v>
      </c>
      <c r="I32" s="6">
        <f t="shared" si="4"/>
        <v>34</v>
      </c>
    </row>
    <row r="33" spans="1:11" x14ac:dyDescent="0.25">
      <c r="A33" s="5" t="s">
        <v>68</v>
      </c>
      <c r="B33" s="5">
        <v>2</v>
      </c>
      <c r="C33" s="5">
        <v>2</v>
      </c>
      <c r="D33" s="5">
        <v>2</v>
      </c>
      <c r="E33" s="5">
        <v>4</v>
      </c>
      <c r="F33" s="5">
        <v>5</v>
      </c>
      <c r="G33" s="5">
        <v>2</v>
      </c>
      <c r="H33" s="5">
        <v>0</v>
      </c>
      <c r="I33" s="6">
        <f t="shared" si="4"/>
        <v>17</v>
      </c>
    </row>
    <row r="34" spans="1:11" x14ac:dyDescent="0.25">
      <c r="A34" s="5" t="s">
        <v>37</v>
      </c>
      <c r="B34" s="5">
        <v>21</v>
      </c>
      <c r="C34" s="5">
        <v>9</v>
      </c>
      <c r="D34" s="5">
        <v>21</v>
      </c>
      <c r="E34" s="5">
        <v>12</v>
      </c>
      <c r="F34" s="5">
        <v>8</v>
      </c>
      <c r="G34" s="5">
        <v>0</v>
      </c>
      <c r="H34" s="5">
        <v>0</v>
      </c>
      <c r="I34" s="6">
        <f t="shared" si="4"/>
        <v>71</v>
      </c>
    </row>
    <row r="35" spans="1:11" x14ac:dyDescent="0.25">
      <c r="A35" s="7" t="s">
        <v>15</v>
      </c>
      <c r="B35" s="7">
        <f t="shared" ref="B35:H35" si="5">SUM(B29:B34)</f>
        <v>275</v>
      </c>
      <c r="C35" s="7">
        <f t="shared" si="5"/>
        <v>181</v>
      </c>
      <c r="D35" s="7">
        <f t="shared" si="5"/>
        <v>274</v>
      </c>
      <c r="E35" s="7">
        <f t="shared" si="5"/>
        <v>176</v>
      </c>
      <c r="F35" s="7">
        <f t="shared" si="5"/>
        <v>204</v>
      </c>
      <c r="G35" s="7">
        <f t="shared" si="5"/>
        <v>70</v>
      </c>
      <c r="H35" s="7">
        <f t="shared" si="5"/>
        <v>6</v>
      </c>
      <c r="I35" s="6">
        <f t="shared" si="4"/>
        <v>1186</v>
      </c>
      <c r="J35" s="1"/>
      <c r="K35" s="1"/>
    </row>
    <row r="36" spans="1:11" x14ac:dyDescent="0.25">
      <c r="A36" s="5" t="s">
        <v>44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62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46013</v>
      </c>
      <c r="C41" s="4">
        <v>46014</v>
      </c>
      <c r="D41" s="4">
        <v>46015</v>
      </c>
      <c r="E41" s="4">
        <v>46016</v>
      </c>
      <c r="F41" s="4">
        <v>46017</v>
      </c>
      <c r="G41" s="4">
        <v>46018</v>
      </c>
      <c r="H41" s="4">
        <v>46019</v>
      </c>
      <c r="I41" s="2" t="s">
        <v>8</v>
      </c>
    </row>
    <row r="42" spans="1:11" x14ac:dyDescent="0.25">
      <c r="A42" s="5" t="s">
        <v>9</v>
      </c>
      <c r="B42" s="5">
        <v>110</v>
      </c>
      <c r="C42" s="5">
        <v>133</v>
      </c>
      <c r="D42" s="5">
        <v>80</v>
      </c>
      <c r="E42" s="5">
        <v>0</v>
      </c>
      <c r="F42" s="5">
        <v>109</v>
      </c>
      <c r="G42" s="5">
        <v>30</v>
      </c>
      <c r="H42" s="5">
        <v>0</v>
      </c>
      <c r="I42" s="6">
        <f t="shared" ref="I42:I50" si="6">SUM(B42:H42)</f>
        <v>462</v>
      </c>
    </row>
    <row r="43" spans="1:11" x14ac:dyDescent="0.25">
      <c r="A43" s="5" t="s">
        <v>10</v>
      </c>
      <c r="B43" s="5">
        <v>73</v>
      </c>
      <c r="C43" s="5">
        <v>92</v>
      </c>
      <c r="D43" s="5">
        <v>51</v>
      </c>
      <c r="E43" s="5">
        <v>0</v>
      </c>
      <c r="F43" s="5">
        <v>65</v>
      </c>
      <c r="G43" s="5">
        <v>12</v>
      </c>
      <c r="H43" s="5">
        <v>0</v>
      </c>
      <c r="I43" s="6">
        <f t="shared" si="6"/>
        <v>293</v>
      </c>
    </row>
    <row r="44" spans="1:11" x14ac:dyDescent="0.25">
      <c r="A44" s="5" t="s">
        <v>11</v>
      </c>
      <c r="B44" s="5">
        <v>15</v>
      </c>
      <c r="C44" s="5">
        <v>6</v>
      </c>
      <c r="D44" s="5">
        <v>1</v>
      </c>
      <c r="E44" s="5">
        <v>0</v>
      </c>
      <c r="F44" s="5">
        <v>0</v>
      </c>
      <c r="G44" s="5">
        <v>10</v>
      </c>
      <c r="H44" s="5">
        <v>0</v>
      </c>
      <c r="I44" s="6">
        <f t="shared" si="6"/>
        <v>32</v>
      </c>
    </row>
    <row r="45" spans="1:11" x14ac:dyDescent="0.25">
      <c r="A45" s="5" t="s">
        <v>12</v>
      </c>
      <c r="B45" s="5">
        <v>8</v>
      </c>
      <c r="C45" s="5">
        <v>7</v>
      </c>
      <c r="D45" s="5">
        <v>7</v>
      </c>
      <c r="E45" s="5">
        <v>0</v>
      </c>
      <c r="F45" s="5">
        <v>10</v>
      </c>
      <c r="G45" s="5">
        <v>0</v>
      </c>
      <c r="H45" s="5">
        <v>0</v>
      </c>
      <c r="I45" s="6">
        <f t="shared" si="6"/>
        <v>32</v>
      </c>
    </row>
    <row r="46" spans="1:11" x14ac:dyDescent="0.25">
      <c r="A46" s="5" t="s">
        <v>68</v>
      </c>
      <c r="B46" s="5">
        <v>2</v>
      </c>
      <c r="C46" s="5">
        <v>4</v>
      </c>
      <c r="D46" s="5">
        <v>2</v>
      </c>
      <c r="E46" s="5">
        <v>0</v>
      </c>
      <c r="F46" s="5">
        <v>6</v>
      </c>
      <c r="G46" s="5">
        <v>1</v>
      </c>
      <c r="H46" s="5">
        <v>0</v>
      </c>
      <c r="I46" s="6">
        <f t="shared" si="6"/>
        <v>15</v>
      </c>
    </row>
    <row r="47" spans="1:11" x14ac:dyDescent="0.25">
      <c r="A47" s="5" t="s">
        <v>37</v>
      </c>
      <c r="B47" s="5">
        <v>15</v>
      </c>
      <c r="C47" s="5">
        <v>23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43</v>
      </c>
    </row>
    <row r="48" spans="1:11" x14ac:dyDescent="0.25">
      <c r="A48" s="7" t="s">
        <v>15</v>
      </c>
      <c r="B48" s="7">
        <f>SUM(B42:B47)</f>
        <v>223</v>
      </c>
      <c r="C48" s="7">
        <f t="shared" ref="C48:H48" si="7">SUM(C42:C47)</f>
        <v>265</v>
      </c>
      <c r="D48" s="7">
        <f t="shared" si="7"/>
        <v>146</v>
      </c>
      <c r="E48" s="7">
        <f t="shared" si="7"/>
        <v>0</v>
      </c>
      <c r="F48" s="7">
        <f t="shared" si="7"/>
        <v>190</v>
      </c>
      <c r="G48" s="7">
        <f t="shared" si="7"/>
        <v>53</v>
      </c>
      <c r="H48" s="7">
        <f t="shared" si="7"/>
        <v>0</v>
      </c>
      <c r="I48" s="6">
        <f t="shared" si="6"/>
        <v>877</v>
      </c>
      <c r="J48" s="1"/>
      <c r="K48" s="1"/>
    </row>
    <row r="49" spans="1:11" x14ac:dyDescent="0.25">
      <c r="A49" s="5" t="s">
        <v>44</v>
      </c>
      <c r="B49" s="5">
        <v>7</v>
      </c>
      <c r="C49" s="5">
        <v>0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11</v>
      </c>
    </row>
    <row r="50" spans="1:11" x14ac:dyDescent="0.25">
      <c r="A50" s="5" t="s">
        <v>62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46385</v>
      </c>
      <c r="C53" s="4">
        <v>46386</v>
      </c>
      <c r="D53" s="4">
        <v>46387</v>
      </c>
      <c r="E53" s="4">
        <v>46388</v>
      </c>
      <c r="F53" s="4">
        <v>46389</v>
      </c>
      <c r="G53" s="4">
        <v>46390</v>
      </c>
      <c r="H53" s="4">
        <v>46391</v>
      </c>
      <c r="I53" s="2" t="s">
        <v>8</v>
      </c>
    </row>
    <row r="54" spans="1:11" x14ac:dyDescent="0.25">
      <c r="A54" s="5" t="s">
        <v>9</v>
      </c>
      <c r="B54" s="5">
        <v>154</v>
      </c>
      <c r="C54" s="5">
        <v>130</v>
      </c>
      <c r="D54" s="5">
        <v>140</v>
      </c>
      <c r="E54" s="5">
        <v>0</v>
      </c>
      <c r="F54" s="5">
        <v>130</v>
      </c>
      <c r="G54" s="5">
        <v>55</v>
      </c>
      <c r="H54" s="5">
        <v>0</v>
      </c>
      <c r="I54" s="6">
        <f t="shared" ref="I54:I62" si="8">SUM(B54:H54)</f>
        <v>609</v>
      </c>
    </row>
    <row r="55" spans="1:11" x14ac:dyDescent="0.25">
      <c r="A55" s="5" t="s">
        <v>10</v>
      </c>
      <c r="B55" s="5">
        <v>88</v>
      </c>
      <c r="C55" s="5">
        <v>51</v>
      </c>
      <c r="D55" s="5">
        <v>72</v>
      </c>
      <c r="E55" s="5">
        <v>0</v>
      </c>
      <c r="F55" s="5">
        <v>64</v>
      </c>
      <c r="G55" s="5">
        <v>19</v>
      </c>
      <c r="H55" s="5">
        <v>3</v>
      </c>
      <c r="I55" s="6">
        <f t="shared" si="8"/>
        <v>297</v>
      </c>
    </row>
    <row r="56" spans="1:11" x14ac:dyDescent="0.25">
      <c r="A56" s="5" t="s">
        <v>11</v>
      </c>
      <c r="B56" s="5">
        <v>16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f t="shared" si="8"/>
        <v>16</v>
      </c>
    </row>
    <row r="57" spans="1:11" x14ac:dyDescent="0.25">
      <c r="A57" s="5" t="s">
        <v>12</v>
      </c>
      <c r="B57" s="5">
        <v>9</v>
      </c>
      <c r="C57" s="5">
        <v>8</v>
      </c>
      <c r="D57" s="5">
        <v>7</v>
      </c>
      <c r="E57" s="5">
        <v>0</v>
      </c>
      <c r="F57" s="5">
        <v>10</v>
      </c>
      <c r="G57" s="5">
        <v>0</v>
      </c>
      <c r="H57" s="5">
        <v>0</v>
      </c>
      <c r="I57" s="6">
        <f t="shared" si="8"/>
        <v>34</v>
      </c>
    </row>
    <row r="58" spans="1:11" x14ac:dyDescent="0.25">
      <c r="A58" s="5" t="s">
        <v>14</v>
      </c>
      <c r="B58" s="5">
        <v>3</v>
      </c>
      <c r="C58" s="5">
        <v>4</v>
      </c>
      <c r="D58" s="5">
        <v>5</v>
      </c>
      <c r="E58" s="5">
        <v>0</v>
      </c>
      <c r="F58" s="5">
        <v>5</v>
      </c>
      <c r="G58" s="5">
        <v>3</v>
      </c>
      <c r="H58" s="5">
        <v>0</v>
      </c>
      <c r="I58" s="6">
        <f t="shared" si="8"/>
        <v>20</v>
      </c>
    </row>
    <row r="59" spans="1:11" x14ac:dyDescent="0.25">
      <c r="A59" s="5" t="s">
        <v>37</v>
      </c>
      <c r="B59" s="5">
        <v>20</v>
      </c>
      <c r="C59" s="5">
        <v>9</v>
      </c>
      <c r="D59" s="5">
        <v>12</v>
      </c>
      <c r="E59" s="5">
        <v>0</v>
      </c>
      <c r="F59" s="5">
        <v>8</v>
      </c>
      <c r="G59" s="5">
        <v>0</v>
      </c>
      <c r="H59" s="5">
        <v>0</v>
      </c>
      <c r="I59" s="6">
        <f t="shared" si="8"/>
        <v>49</v>
      </c>
    </row>
    <row r="60" spans="1:11" x14ac:dyDescent="0.25">
      <c r="A60" s="7" t="s">
        <v>15</v>
      </c>
      <c r="B60" s="7">
        <f t="shared" ref="B60:H60" si="9">SUM(B54:B59)</f>
        <v>290</v>
      </c>
      <c r="C60" s="7">
        <f t="shared" si="9"/>
        <v>202</v>
      </c>
      <c r="D60" s="7">
        <f t="shared" si="9"/>
        <v>236</v>
      </c>
      <c r="E60" s="7">
        <f t="shared" si="9"/>
        <v>0</v>
      </c>
      <c r="F60" s="7">
        <f t="shared" si="9"/>
        <v>217</v>
      </c>
      <c r="G60" s="7">
        <f t="shared" si="9"/>
        <v>77</v>
      </c>
      <c r="H60" s="7">
        <f t="shared" si="9"/>
        <v>3</v>
      </c>
      <c r="I60" s="6">
        <f t="shared" si="8"/>
        <v>1025</v>
      </c>
      <c r="J60" s="1"/>
      <c r="K60" s="1"/>
    </row>
    <row r="61" spans="1:11" x14ac:dyDescent="0.25">
      <c r="A61" s="5" t="s">
        <v>32</v>
      </c>
      <c r="B61" s="5">
        <v>13</v>
      </c>
      <c r="C61" s="5">
        <v>0</v>
      </c>
      <c r="D61" s="5">
        <v>3</v>
      </c>
      <c r="E61" s="5">
        <v>0</v>
      </c>
      <c r="F61" s="5">
        <v>4</v>
      </c>
      <c r="G61" s="5">
        <v>0</v>
      </c>
      <c r="H61" s="5">
        <v>0</v>
      </c>
      <c r="I61" s="6">
        <f t="shared" si="8"/>
        <v>20</v>
      </c>
      <c r="K61">
        <f>I60+I48+I35+I22+I9</f>
        <v>5418</v>
      </c>
    </row>
    <row r="62" spans="1:11" x14ac:dyDescent="0.25">
      <c r="A62" s="5" t="s">
        <v>62</v>
      </c>
      <c r="B62" s="5">
        <v>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1</v>
      </c>
    </row>
  </sheetData>
  <pageMargins left="0.7" right="0.7" top="0.75" bottom="0.75" header="0.3" footer="0.3"/>
  <pageSetup scale="76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B182-CB96-4FF7-B6C1-F18E267865E9}">
  <sheetPr>
    <pageSetUpPr fitToPage="1"/>
  </sheetPr>
  <dimension ref="A1:H49"/>
  <sheetViews>
    <sheetView topLeftCell="A28" workbookViewId="0">
      <selection activeCell="G44" sqref="G44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45628</v>
      </c>
      <c r="C2" s="4">
        <v>45629</v>
      </c>
      <c r="D2" s="4">
        <v>45630</v>
      </c>
      <c r="E2" s="4">
        <v>45631</v>
      </c>
      <c r="F2" s="4">
        <v>45632</v>
      </c>
      <c r="G2" s="4">
        <v>45633</v>
      </c>
      <c r="H2" s="3" t="s">
        <v>19</v>
      </c>
    </row>
    <row r="3" spans="1:8" x14ac:dyDescent="0.25">
      <c r="A3" s="5" t="s">
        <v>20</v>
      </c>
      <c r="B3" s="5">
        <v>19</v>
      </c>
      <c r="C3" s="5">
        <v>23</v>
      </c>
      <c r="D3" s="5">
        <v>23</v>
      </c>
      <c r="E3" s="5">
        <v>18</v>
      </c>
      <c r="F3" s="5">
        <v>21</v>
      </c>
      <c r="G3" s="5">
        <v>0</v>
      </c>
      <c r="H3" s="6">
        <f t="shared" ref="H3:H9" si="0">SUM(B3:G3)</f>
        <v>104</v>
      </c>
    </row>
    <row r="4" spans="1:8" x14ac:dyDescent="0.25">
      <c r="A4" s="5" t="s">
        <v>21</v>
      </c>
      <c r="B4" s="5">
        <v>25</v>
      </c>
      <c r="C4" s="5">
        <v>34</v>
      </c>
      <c r="D4" s="5">
        <v>43</v>
      </c>
      <c r="E4" s="5">
        <v>25</v>
      </c>
      <c r="F4" s="5">
        <v>18</v>
      </c>
      <c r="G4" s="5">
        <v>0</v>
      </c>
      <c r="H4" s="6">
        <f t="shared" si="0"/>
        <v>145</v>
      </c>
    </row>
    <row r="5" spans="1:8" x14ac:dyDescent="0.25">
      <c r="A5" s="5" t="s">
        <v>60</v>
      </c>
      <c r="B5" s="5">
        <v>17</v>
      </c>
      <c r="C5" s="5">
        <v>14</v>
      </c>
      <c r="D5" s="5">
        <v>15</v>
      </c>
      <c r="E5" s="5">
        <v>11</v>
      </c>
      <c r="F5" s="5">
        <v>8</v>
      </c>
      <c r="G5" s="5">
        <v>19</v>
      </c>
      <c r="H5" s="6">
        <f t="shared" si="0"/>
        <v>84</v>
      </c>
    </row>
    <row r="6" spans="1:8" x14ac:dyDescent="0.25">
      <c r="A6" s="5" t="s">
        <v>23</v>
      </c>
      <c r="B6" s="5">
        <v>61</v>
      </c>
      <c r="C6" s="5">
        <v>68</v>
      </c>
      <c r="D6" s="5">
        <v>61</v>
      </c>
      <c r="E6" s="5">
        <v>53</v>
      </c>
      <c r="F6" s="5">
        <v>58</v>
      </c>
      <c r="G6" s="5">
        <v>33</v>
      </c>
      <c r="H6" s="6">
        <f t="shared" si="0"/>
        <v>334</v>
      </c>
    </row>
    <row r="7" spans="1:8" x14ac:dyDescent="0.25">
      <c r="A7" s="7" t="s">
        <v>15</v>
      </c>
      <c r="B7" s="7">
        <f t="shared" ref="B7:G7" si="1">SUM(B3:B6)</f>
        <v>122</v>
      </c>
      <c r="C7" s="7">
        <f t="shared" si="1"/>
        <v>139</v>
      </c>
      <c r="D7" s="7">
        <f t="shared" si="1"/>
        <v>142</v>
      </c>
      <c r="E7" s="7">
        <f t="shared" si="1"/>
        <v>107</v>
      </c>
      <c r="F7" s="7">
        <f t="shared" si="1"/>
        <v>105</v>
      </c>
      <c r="G7" s="7">
        <f t="shared" si="1"/>
        <v>52</v>
      </c>
      <c r="H7" s="6">
        <f t="shared" si="0"/>
        <v>667</v>
      </c>
    </row>
    <row r="8" spans="1:8" x14ac:dyDescent="0.25">
      <c r="A8" s="5" t="s">
        <v>62</v>
      </c>
      <c r="B8" s="5">
        <v>14</v>
      </c>
      <c r="C8" s="5">
        <v>0</v>
      </c>
      <c r="D8" s="5">
        <v>0</v>
      </c>
      <c r="E8" s="5">
        <v>0</v>
      </c>
      <c r="F8" s="5">
        <v>0</v>
      </c>
      <c r="G8" s="5">
        <v>8</v>
      </c>
      <c r="H8" s="6">
        <f t="shared" si="0"/>
        <v>22</v>
      </c>
    </row>
    <row r="9" spans="1:8" x14ac:dyDescent="0.25">
      <c r="A9" s="5" t="s">
        <v>44</v>
      </c>
      <c r="B9" s="5">
        <v>4</v>
      </c>
      <c r="C9" s="5">
        <v>0</v>
      </c>
      <c r="D9" s="5">
        <v>7</v>
      </c>
      <c r="E9" s="5">
        <v>0</v>
      </c>
      <c r="F9" s="5">
        <v>9</v>
      </c>
      <c r="G9" s="5">
        <v>0</v>
      </c>
      <c r="H9" s="6">
        <f t="shared" si="0"/>
        <v>20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45999</v>
      </c>
      <c r="C11" s="4">
        <v>46000</v>
      </c>
      <c r="D11" s="4">
        <v>46001</v>
      </c>
      <c r="E11" s="4">
        <v>46002</v>
      </c>
      <c r="F11" s="4">
        <v>46003</v>
      </c>
      <c r="G11" s="4">
        <v>46004</v>
      </c>
      <c r="H11" s="3" t="s">
        <v>19</v>
      </c>
    </row>
    <row r="12" spans="1:8" x14ac:dyDescent="0.25">
      <c r="A12" s="5" t="s">
        <v>20</v>
      </c>
      <c r="B12" s="5">
        <v>20</v>
      </c>
      <c r="C12" s="5">
        <v>17</v>
      </c>
      <c r="D12" s="5">
        <v>22</v>
      </c>
      <c r="E12" s="5">
        <v>32</v>
      </c>
      <c r="F12" s="5">
        <v>18</v>
      </c>
      <c r="G12" s="5">
        <v>0</v>
      </c>
      <c r="H12" s="6">
        <f t="shared" ref="H12:H19" si="2">SUM(B12:G12)</f>
        <v>109</v>
      </c>
    </row>
    <row r="13" spans="1:8" x14ac:dyDescent="0.25">
      <c r="A13" s="5" t="s">
        <v>21</v>
      </c>
      <c r="B13" s="5">
        <v>25</v>
      </c>
      <c r="C13" s="5">
        <v>23</v>
      </c>
      <c r="D13" s="5">
        <v>27</v>
      </c>
      <c r="E13" s="5">
        <v>25</v>
      </c>
      <c r="F13" s="5">
        <v>25</v>
      </c>
      <c r="G13" s="5">
        <v>25</v>
      </c>
      <c r="H13" s="6">
        <f t="shared" si="2"/>
        <v>150</v>
      </c>
    </row>
    <row r="14" spans="1:8" x14ac:dyDescent="0.25">
      <c r="A14" s="5" t="s">
        <v>60</v>
      </c>
      <c r="B14" s="5">
        <v>16</v>
      </c>
      <c r="C14" s="5">
        <v>12</v>
      </c>
      <c r="D14" s="5">
        <v>14</v>
      </c>
      <c r="E14" s="5">
        <v>1</v>
      </c>
      <c r="F14" s="5">
        <v>13</v>
      </c>
      <c r="G14" s="5">
        <v>0</v>
      </c>
      <c r="H14" s="6">
        <f t="shared" si="2"/>
        <v>56</v>
      </c>
    </row>
    <row r="15" spans="1:8" x14ac:dyDescent="0.25">
      <c r="A15" s="5" t="s">
        <v>67</v>
      </c>
      <c r="B15" s="5">
        <v>20</v>
      </c>
      <c r="C15" s="5">
        <v>22</v>
      </c>
      <c r="D15" s="5">
        <v>30</v>
      </c>
      <c r="E15" s="5">
        <v>26</v>
      </c>
      <c r="F15" s="5">
        <v>15</v>
      </c>
      <c r="G15" s="5">
        <v>0</v>
      </c>
      <c r="H15" s="6">
        <f>SUM(B15:G15)</f>
        <v>113</v>
      </c>
    </row>
    <row r="16" spans="1:8" x14ac:dyDescent="0.25">
      <c r="A16" s="5" t="s">
        <v>23</v>
      </c>
      <c r="B16" s="5">
        <v>31</v>
      </c>
      <c r="C16" s="5">
        <v>37</v>
      </c>
      <c r="D16" s="5">
        <v>34</v>
      </c>
      <c r="E16" s="5">
        <v>29</v>
      </c>
      <c r="F16" s="5">
        <v>28</v>
      </c>
      <c r="G16" s="5">
        <v>34</v>
      </c>
      <c r="H16" s="6">
        <f t="shared" si="2"/>
        <v>193</v>
      </c>
    </row>
    <row r="17" spans="1:8" x14ac:dyDescent="0.25">
      <c r="A17" s="7" t="s">
        <v>15</v>
      </c>
      <c r="B17" s="7">
        <f t="shared" ref="B17:G17" si="3">SUM(B12:B16)</f>
        <v>112</v>
      </c>
      <c r="C17" s="7">
        <f t="shared" si="3"/>
        <v>111</v>
      </c>
      <c r="D17" s="7">
        <f t="shared" si="3"/>
        <v>127</v>
      </c>
      <c r="E17" s="7">
        <f>SUM(E12:E16)</f>
        <v>113</v>
      </c>
      <c r="F17" s="7">
        <f t="shared" si="3"/>
        <v>99</v>
      </c>
      <c r="G17" s="7">
        <f t="shared" si="3"/>
        <v>59</v>
      </c>
      <c r="H17" s="6">
        <f t="shared" si="2"/>
        <v>621</v>
      </c>
    </row>
    <row r="18" spans="1:8" x14ac:dyDescent="0.25">
      <c r="A18" s="5" t="s">
        <v>53</v>
      </c>
      <c r="B18" s="5">
        <v>12</v>
      </c>
      <c r="C18" s="5">
        <v>0</v>
      </c>
      <c r="D18" s="5">
        <v>0</v>
      </c>
      <c r="E18" s="5">
        <v>0</v>
      </c>
      <c r="F18" s="5">
        <v>0</v>
      </c>
      <c r="G18" s="8">
        <v>8</v>
      </c>
      <c r="H18" s="6">
        <f t="shared" si="2"/>
        <v>20</v>
      </c>
    </row>
    <row r="19" spans="1:8" x14ac:dyDescent="0.25">
      <c r="A19" s="5" t="s">
        <v>44</v>
      </c>
      <c r="B19" s="5">
        <v>7</v>
      </c>
      <c r="C19" s="5">
        <v>0</v>
      </c>
      <c r="D19" s="5">
        <v>5</v>
      </c>
      <c r="E19" s="5">
        <v>0</v>
      </c>
      <c r="F19" s="5">
        <v>5</v>
      </c>
      <c r="G19" s="5">
        <v>0</v>
      </c>
      <c r="H19" s="6">
        <f t="shared" si="2"/>
        <v>17</v>
      </c>
    </row>
    <row r="20" spans="1:8" x14ac:dyDescent="0.25">
      <c r="A20" s="1"/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/>
    </row>
    <row r="21" spans="1:8" x14ac:dyDescent="0.25">
      <c r="A21" s="3" t="s">
        <v>7</v>
      </c>
      <c r="B21" s="4">
        <v>46006</v>
      </c>
      <c r="C21" s="4">
        <v>46007</v>
      </c>
      <c r="D21" s="4">
        <v>46008</v>
      </c>
      <c r="E21" s="4">
        <v>46009</v>
      </c>
      <c r="F21" s="4">
        <v>46010</v>
      </c>
      <c r="G21" s="4">
        <v>46011</v>
      </c>
      <c r="H21" s="3" t="s">
        <v>19</v>
      </c>
    </row>
    <row r="22" spans="1:8" x14ac:dyDescent="0.25">
      <c r="A22" s="5" t="s">
        <v>20</v>
      </c>
      <c r="B22" s="5">
        <v>19</v>
      </c>
      <c r="C22" s="5">
        <v>23</v>
      </c>
      <c r="D22" s="5">
        <v>29</v>
      </c>
      <c r="E22" s="5">
        <v>24</v>
      </c>
      <c r="F22" s="5">
        <v>26</v>
      </c>
      <c r="G22" s="5">
        <v>0</v>
      </c>
      <c r="H22" s="6">
        <f t="shared" ref="H22:H29" si="4">SUM(B22:G22)</f>
        <v>121</v>
      </c>
    </row>
    <row r="23" spans="1:8" x14ac:dyDescent="0.25">
      <c r="A23" s="5" t="s">
        <v>21</v>
      </c>
      <c r="B23" s="5">
        <v>28</v>
      </c>
      <c r="C23" s="5">
        <v>24</v>
      </c>
      <c r="D23" s="5">
        <v>34</v>
      </c>
      <c r="E23" s="5">
        <v>22</v>
      </c>
      <c r="F23" s="5">
        <v>21</v>
      </c>
      <c r="G23" s="5">
        <v>0</v>
      </c>
      <c r="H23" s="6">
        <f t="shared" si="4"/>
        <v>129</v>
      </c>
    </row>
    <row r="24" spans="1:8" x14ac:dyDescent="0.25">
      <c r="A24" s="5" t="s">
        <v>60</v>
      </c>
      <c r="B24" s="5">
        <v>15</v>
      </c>
      <c r="C24" s="5">
        <v>14</v>
      </c>
      <c r="D24" s="5">
        <v>14</v>
      </c>
      <c r="E24" s="5">
        <v>22</v>
      </c>
      <c r="F24" s="5">
        <v>18</v>
      </c>
      <c r="G24" s="5">
        <v>17</v>
      </c>
      <c r="H24" s="6">
        <f t="shared" si="4"/>
        <v>100</v>
      </c>
    </row>
    <row r="25" spans="1:8" x14ac:dyDescent="0.25">
      <c r="A25" s="5" t="s">
        <v>67</v>
      </c>
      <c r="B25" s="5">
        <v>25</v>
      </c>
      <c r="C25" s="5">
        <v>16</v>
      </c>
      <c r="D25" s="5">
        <v>38</v>
      </c>
      <c r="E25" s="5">
        <v>35</v>
      </c>
      <c r="F25" s="5">
        <v>17</v>
      </c>
      <c r="G25" s="5">
        <v>0</v>
      </c>
      <c r="H25" s="6">
        <f>SUM(B25:G25)</f>
        <v>131</v>
      </c>
    </row>
    <row r="26" spans="1:8" x14ac:dyDescent="0.25">
      <c r="A26" s="5" t="s">
        <v>23</v>
      </c>
      <c r="B26" s="5">
        <v>36</v>
      </c>
      <c r="C26" s="5">
        <v>37</v>
      </c>
      <c r="D26" s="5">
        <v>34</v>
      </c>
      <c r="E26" s="5">
        <v>18</v>
      </c>
      <c r="F26" s="5">
        <v>31</v>
      </c>
      <c r="G26" s="5">
        <v>27</v>
      </c>
      <c r="H26" s="6">
        <f t="shared" si="4"/>
        <v>183</v>
      </c>
    </row>
    <row r="27" spans="1:8" x14ac:dyDescent="0.25">
      <c r="A27" s="7" t="s">
        <v>15</v>
      </c>
      <c r="B27" s="7">
        <f t="shared" ref="B27:G27" si="5">SUM(B22:B26)</f>
        <v>123</v>
      </c>
      <c r="C27" s="7">
        <f t="shared" si="5"/>
        <v>114</v>
      </c>
      <c r="D27" s="7">
        <f t="shared" si="5"/>
        <v>149</v>
      </c>
      <c r="E27" s="7">
        <f>SUM(E22:E26)</f>
        <v>121</v>
      </c>
      <c r="F27" s="7">
        <f t="shared" si="5"/>
        <v>113</v>
      </c>
      <c r="G27" s="7">
        <f t="shared" si="5"/>
        <v>44</v>
      </c>
      <c r="H27" s="6">
        <f t="shared" si="4"/>
        <v>664</v>
      </c>
    </row>
    <row r="28" spans="1:8" x14ac:dyDescent="0.25">
      <c r="A28" s="5" t="s">
        <v>62</v>
      </c>
      <c r="B28" s="5">
        <v>22</v>
      </c>
      <c r="C28" s="5">
        <v>0</v>
      </c>
      <c r="D28" s="5">
        <v>0</v>
      </c>
      <c r="E28" s="5">
        <v>1</v>
      </c>
      <c r="F28" s="5">
        <v>0</v>
      </c>
      <c r="G28" s="5">
        <v>0</v>
      </c>
      <c r="H28" s="6">
        <f t="shared" si="4"/>
        <v>23</v>
      </c>
    </row>
    <row r="29" spans="1:8" x14ac:dyDescent="0.25">
      <c r="A29" s="5" t="s">
        <v>44</v>
      </c>
      <c r="B29" s="5">
        <v>9</v>
      </c>
      <c r="C29" s="5">
        <v>0</v>
      </c>
      <c r="D29" s="5">
        <v>6</v>
      </c>
      <c r="E29" s="5">
        <v>0</v>
      </c>
      <c r="F29" s="5">
        <v>0</v>
      </c>
      <c r="G29" s="5">
        <v>0</v>
      </c>
      <c r="H29" s="6">
        <f t="shared" si="4"/>
        <v>15</v>
      </c>
    </row>
    <row r="30" spans="1:8" x14ac:dyDescent="0.2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/>
    </row>
    <row r="31" spans="1:8" x14ac:dyDescent="0.25">
      <c r="A31" s="3" t="s">
        <v>7</v>
      </c>
      <c r="B31" s="4">
        <v>45648</v>
      </c>
      <c r="C31" s="4">
        <v>45649</v>
      </c>
      <c r="D31" s="4">
        <v>45650</v>
      </c>
      <c r="E31" s="4">
        <v>45651</v>
      </c>
      <c r="F31" s="4">
        <v>45652</v>
      </c>
      <c r="G31" s="4">
        <v>45653</v>
      </c>
      <c r="H31" s="3" t="s">
        <v>19</v>
      </c>
    </row>
    <row r="32" spans="1:8" x14ac:dyDescent="0.25">
      <c r="A32" s="5" t="s">
        <v>20</v>
      </c>
      <c r="B32" s="5">
        <v>29</v>
      </c>
      <c r="C32" s="5">
        <v>30</v>
      </c>
      <c r="D32" s="5">
        <v>18</v>
      </c>
      <c r="E32" s="5">
        <v>0</v>
      </c>
      <c r="F32" s="5">
        <v>18</v>
      </c>
      <c r="G32" s="5">
        <v>11</v>
      </c>
      <c r="H32" s="6">
        <f>SUM(B32:G32)</f>
        <v>106</v>
      </c>
    </row>
    <row r="33" spans="1:8" x14ac:dyDescent="0.25">
      <c r="A33" s="5" t="s">
        <v>21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ref="H33:H39" si="6">SUM(B33:G33)</f>
        <v>0</v>
      </c>
    </row>
    <row r="34" spans="1:8" x14ac:dyDescent="0.25">
      <c r="A34" s="5" t="s">
        <v>60</v>
      </c>
      <c r="B34" s="5">
        <v>24</v>
      </c>
      <c r="C34" s="5">
        <v>19</v>
      </c>
      <c r="D34" s="5">
        <v>12</v>
      </c>
      <c r="E34" s="5">
        <v>0</v>
      </c>
      <c r="F34" s="5">
        <v>14</v>
      </c>
      <c r="G34" s="5">
        <v>0</v>
      </c>
      <c r="H34" s="6">
        <f t="shared" si="6"/>
        <v>69</v>
      </c>
    </row>
    <row r="35" spans="1:8" x14ac:dyDescent="0.25">
      <c r="A35" s="5" t="s">
        <v>67</v>
      </c>
      <c r="B35" s="5">
        <v>19</v>
      </c>
      <c r="C35" s="5">
        <v>35</v>
      </c>
      <c r="D35" s="5">
        <v>25</v>
      </c>
      <c r="E35" s="5">
        <v>0</v>
      </c>
      <c r="F35" s="5">
        <v>31</v>
      </c>
      <c r="G35" s="5">
        <v>0</v>
      </c>
      <c r="H35" s="6">
        <f>SUM(B35:G35)</f>
        <v>110</v>
      </c>
    </row>
    <row r="36" spans="1:8" x14ac:dyDescent="0.25">
      <c r="A36" s="5" t="s">
        <v>23</v>
      </c>
      <c r="B36" s="5">
        <v>38</v>
      </c>
      <c r="C36" s="5">
        <v>49</v>
      </c>
      <c r="D36" s="5">
        <v>25</v>
      </c>
      <c r="E36" s="5">
        <v>0</v>
      </c>
      <c r="F36" s="5">
        <v>46</v>
      </c>
      <c r="G36" s="5">
        <v>19</v>
      </c>
      <c r="H36" s="6">
        <f t="shared" si="6"/>
        <v>177</v>
      </c>
    </row>
    <row r="37" spans="1:8" x14ac:dyDescent="0.25">
      <c r="A37" s="7" t="s">
        <v>15</v>
      </c>
      <c r="B37" s="7">
        <f t="shared" ref="B37:G37" si="7">SUM(B32:B36)</f>
        <v>110</v>
      </c>
      <c r="C37" s="7">
        <f t="shared" si="7"/>
        <v>133</v>
      </c>
      <c r="D37" s="7">
        <f t="shared" si="7"/>
        <v>80</v>
      </c>
      <c r="E37" s="7">
        <f t="shared" si="7"/>
        <v>0</v>
      </c>
      <c r="F37" s="7">
        <f t="shared" si="7"/>
        <v>109</v>
      </c>
      <c r="G37" s="7">
        <f t="shared" si="7"/>
        <v>30</v>
      </c>
      <c r="H37" s="6">
        <f t="shared" si="6"/>
        <v>462</v>
      </c>
    </row>
    <row r="38" spans="1:8" x14ac:dyDescent="0.25">
      <c r="A38" s="5" t="s">
        <v>32</v>
      </c>
      <c r="B38" s="5"/>
      <c r="C38" s="5"/>
      <c r="D38" s="5"/>
      <c r="E38" s="5"/>
      <c r="F38" s="5"/>
      <c r="G38" s="5"/>
      <c r="H38" s="6">
        <f t="shared" si="6"/>
        <v>0</v>
      </c>
    </row>
    <row r="39" spans="1:8" x14ac:dyDescent="0.25">
      <c r="A39" s="5" t="s">
        <v>62</v>
      </c>
      <c r="B39" s="5"/>
      <c r="C39" s="5"/>
      <c r="D39" s="5"/>
      <c r="E39" s="5"/>
      <c r="F39" s="5"/>
      <c r="G39" s="5"/>
      <c r="H39" s="6">
        <f t="shared" si="6"/>
        <v>0</v>
      </c>
    </row>
    <row r="40" spans="1:8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/>
    </row>
    <row r="41" spans="1:8" x14ac:dyDescent="0.25">
      <c r="A41" s="3" t="s">
        <v>7</v>
      </c>
      <c r="B41" s="4">
        <v>46385</v>
      </c>
      <c r="C41" s="4">
        <v>46386</v>
      </c>
      <c r="D41" s="4">
        <v>46387</v>
      </c>
      <c r="E41" s="4">
        <v>46388</v>
      </c>
      <c r="F41" s="4">
        <v>46389</v>
      </c>
      <c r="G41" s="4">
        <v>46390</v>
      </c>
      <c r="H41" s="3" t="s">
        <v>19</v>
      </c>
    </row>
    <row r="42" spans="1:8" x14ac:dyDescent="0.25">
      <c r="A42" s="5" t="s">
        <v>20</v>
      </c>
      <c r="B42">
        <v>21</v>
      </c>
      <c r="C42">
        <v>21</v>
      </c>
      <c r="D42">
        <v>20</v>
      </c>
      <c r="E42">
        <v>0</v>
      </c>
      <c r="F42">
        <v>23</v>
      </c>
      <c r="G42">
        <v>0</v>
      </c>
      <c r="H42" s="6">
        <f>SUM(B42:G42)</f>
        <v>85</v>
      </c>
    </row>
    <row r="43" spans="1:8" x14ac:dyDescent="0.25">
      <c r="A43" s="5" t="s">
        <v>21</v>
      </c>
      <c r="B43">
        <v>29</v>
      </c>
      <c r="C43">
        <v>22</v>
      </c>
      <c r="D43">
        <v>31</v>
      </c>
      <c r="E43">
        <v>0</v>
      </c>
      <c r="F43">
        <v>27</v>
      </c>
      <c r="G43">
        <v>31</v>
      </c>
      <c r="H43" s="6">
        <f t="shared" ref="H43:H49" si="8">SUM(B43:G43)</f>
        <v>140</v>
      </c>
    </row>
    <row r="44" spans="1:8" x14ac:dyDescent="0.25">
      <c r="A44" s="5" t="s">
        <v>60</v>
      </c>
      <c r="B44">
        <v>17</v>
      </c>
      <c r="C44">
        <v>19</v>
      </c>
      <c r="D44">
        <v>16</v>
      </c>
      <c r="E44">
        <v>0</v>
      </c>
      <c r="F44">
        <v>14</v>
      </c>
      <c r="G44">
        <v>0</v>
      </c>
      <c r="H44" s="6">
        <f t="shared" si="8"/>
        <v>66</v>
      </c>
    </row>
    <row r="45" spans="1:8" x14ac:dyDescent="0.25">
      <c r="A45" s="5" t="s">
        <v>67</v>
      </c>
      <c r="B45">
        <v>29</v>
      </c>
      <c r="C45">
        <v>24</v>
      </c>
      <c r="D45">
        <v>37</v>
      </c>
      <c r="E45">
        <v>0</v>
      </c>
      <c r="F45">
        <v>20</v>
      </c>
      <c r="G45">
        <v>0</v>
      </c>
      <c r="H45" s="6">
        <f>SUM(B45:G45)</f>
        <v>110</v>
      </c>
    </row>
    <row r="46" spans="1:8" x14ac:dyDescent="0.25">
      <c r="A46" s="5" t="s">
        <v>23</v>
      </c>
      <c r="B46">
        <v>44</v>
      </c>
      <c r="C46">
        <v>44</v>
      </c>
      <c r="D46">
        <v>33</v>
      </c>
      <c r="E46">
        <v>0</v>
      </c>
      <c r="F46">
        <v>42</v>
      </c>
      <c r="G46">
        <v>24</v>
      </c>
      <c r="H46" s="6">
        <f t="shared" si="8"/>
        <v>187</v>
      </c>
    </row>
    <row r="47" spans="1:8" x14ac:dyDescent="0.25">
      <c r="A47" s="7" t="s">
        <v>15</v>
      </c>
      <c r="B47" s="7">
        <f>SUM(B42:B46)</f>
        <v>140</v>
      </c>
      <c r="C47" s="7">
        <f t="shared" ref="C47:G47" si="9">SUM(C42:C46)</f>
        <v>130</v>
      </c>
      <c r="D47" s="7">
        <f t="shared" si="9"/>
        <v>137</v>
      </c>
      <c r="E47" s="7">
        <f t="shared" si="9"/>
        <v>0</v>
      </c>
      <c r="F47" s="7">
        <f t="shared" si="9"/>
        <v>126</v>
      </c>
      <c r="G47" s="7">
        <f t="shared" si="9"/>
        <v>55</v>
      </c>
      <c r="H47" s="6">
        <f t="shared" si="8"/>
        <v>588</v>
      </c>
    </row>
    <row r="48" spans="1:8" x14ac:dyDescent="0.25">
      <c r="A48" s="5" t="s">
        <v>44</v>
      </c>
      <c r="B48" s="5">
        <v>13</v>
      </c>
      <c r="C48" s="5">
        <v>0</v>
      </c>
      <c r="D48" s="5">
        <v>3</v>
      </c>
      <c r="E48" s="5">
        <v>0</v>
      </c>
      <c r="F48" s="5">
        <v>4</v>
      </c>
      <c r="G48" s="5">
        <v>0</v>
      </c>
      <c r="H48" s="6">
        <f t="shared" si="8"/>
        <v>20</v>
      </c>
    </row>
    <row r="49" spans="1:8" x14ac:dyDescent="0.25">
      <c r="A49" s="5" t="s">
        <v>62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6">
        <f t="shared" si="8"/>
        <v>1</v>
      </c>
    </row>
  </sheetData>
  <pageMargins left="0.7" right="0.7" top="0.75" bottom="0.75" header="0.3" footer="0.3"/>
  <pageSetup scale="9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1D14514F2A34E9FAEE69A043D6A61" ma:contentTypeVersion="17" ma:contentTypeDescription="Create a new document." ma:contentTypeScope="" ma:versionID="b872a414e50399e18853da8fa705a638">
  <xsd:schema xmlns:xsd="http://www.w3.org/2001/XMLSchema" xmlns:xs="http://www.w3.org/2001/XMLSchema" xmlns:p="http://schemas.microsoft.com/office/2006/metadata/properties" xmlns:ns1="http://schemas.microsoft.com/sharepoint/v3" xmlns:ns2="1f1cd305-4602-4111-bbe9-bda201c6d4d5" xmlns:ns3="d84ee87b-792e-4c8f-bb6f-097181653792" targetNamespace="http://schemas.microsoft.com/office/2006/metadata/properties" ma:root="true" ma:fieldsID="ccd39dda82b40cc3fe958c78aa4682c3" ns1:_="" ns2:_="" ns3:_="">
    <xsd:import namespace="http://schemas.microsoft.com/sharepoint/v3"/>
    <xsd:import namespace="1f1cd305-4602-4111-bbe9-bda201c6d4d5"/>
    <xsd:import namespace="d84ee87b-792e-4c8f-bb6f-097181653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Dr_x002e_MohamedOsma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cd305-4602-4111-bbe9-bda201c6d4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ccb1e4d-d16a-4f03-bf44-ed2ffb4c0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r_x002e_MohamedOsman" ma:index="23" nillable="true" ma:displayName="Dr. Mohamed Osman" ma:format="Dropdown" ma:internalName="Dr_x002e_MohamedOsman">
      <xsd:simpleType>
        <xsd:restriction base="dms:Text">
          <xsd:maxLength value="255"/>
        </xsd:restriction>
      </xsd:simpleType>
    </xsd:element>
    <xsd:element name="Notes" ma:index="24" nillable="true" ma:displayName="Notes" ma:format="Dropdown" ma:internalName="Notes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e87b-792e-4c8f-bb6f-09718165379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ec9f5f-1194-4af3-ac68-df181706aafa}" ma:internalName="TaxCatchAll" ma:showField="CatchAllData" ma:web="d84ee87b-792e-4c8f-bb6f-0971816537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84ee87b-792e-4c8f-bb6f-097181653792" xsi:nil="true"/>
    <_ip_UnifiedCompliancePolicyProperties xmlns="http://schemas.microsoft.com/sharepoint/v3" xsi:nil="true"/>
    <lcf76f155ced4ddcb4097134ff3c332f xmlns="1f1cd305-4602-4111-bbe9-bda201c6d4d5">
      <Terms xmlns="http://schemas.microsoft.com/office/infopath/2007/PartnerControls"/>
    </lcf76f155ced4ddcb4097134ff3c332f>
    <Dr_x002e_MohamedOsman xmlns="1f1cd305-4602-4111-bbe9-bda201c6d4d5" xsi:nil="true"/>
    <Notes xmlns="1f1cd305-4602-4111-bbe9-bda201c6d4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F41085-0714-4AD6-9DBF-FC21C5275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1cd305-4602-4111-bbe9-bda201c6d4d5"/>
    <ds:schemaRef ds:uri="d84ee87b-792e-4c8f-bb6f-097181653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5D9445-A0C9-4FBC-B6CF-6935D19F6772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84ee87b-792e-4c8f-bb6f-097181653792"/>
    <ds:schemaRef ds:uri="http://schemas.microsoft.com/office/2006/documentManagement/types"/>
    <ds:schemaRef ds:uri="1f1cd305-4602-4111-bbe9-bda201c6d4d5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DDFC381-6043-4E68-A81A-4CDFA0BADD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January Totals Madison</vt:lpstr>
      <vt:lpstr>Janurary Provider Totals</vt:lpstr>
      <vt:lpstr>February Totals Madison</vt:lpstr>
      <vt:lpstr>February Provier Totals</vt:lpstr>
      <vt:lpstr>March Totals Madison</vt:lpstr>
      <vt:lpstr>March Provier Totals </vt:lpstr>
      <vt:lpstr>April Totals Madison</vt:lpstr>
      <vt:lpstr>April Provier Totals </vt:lpstr>
      <vt:lpstr>May Totals Madison</vt:lpstr>
      <vt:lpstr>May Provider Totals </vt:lpstr>
      <vt:lpstr>June Totals Madison</vt:lpstr>
      <vt:lpstr>June Provier Totals </vt:lpstr>
      <vt:lpstr>July Totals Madison </vt:lpstr>
      <vt:lpstr>July Provider Totals </vt:lpstr>
      <vt:lpstr>AugustTotals Madison</vt:lpstr>
      <vt:lpstr>August Provider Totals </vt:lpstr>
      <vt:lpstr>September Totals Madison</vt:lpstr>
      <vt:lpstr>September Provider Totals</vt:lpstr>
      <vt:lpstr>October Totals Madison</vt:lpstr>
      <vt:lpstr>October Provider Totals </vt:lpstr>
      <vt:lpstr>November Totals Madison</vt:lpstr>
      <vt:lpstr>November Provider Totals </vt:lpstr>
      <vt:lpstr>December Totals Madison</vt:lpstr>
      <vt:lpstr>December Provider Totals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Derosa</dc:creator>
  <cp:keywords/>
  <dc:description/>
  <cp:lastModifiedBy>Dr. Derosa</cp:lastModifiedBy>
  <cp:revision/>
  <cp:lastPrinted>2025-12-29T13:12:09Z</cp:lastPrinted>
  <dcterms:created xsi:type="dcterms:W3CDTF">2024-01-02T12:26:59Z</dcterms:created>
  <dcterms:modified xsi:type="dcterms:W3CDTF">2026-06-08T18:40:11Z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0x010100D391D14514F2A34E9FAEE69A043D6A61</vt:lpwstr>
  </property>
  <property fmtid="{D5CDD505-2E9C-101B-9397-08002B2CF9AE}" pid="3" name="MediaServiceImageTags">
    <vt:lpwstr/>
  </property>
</Properties>
</file>